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ddie Kairu\Desktop\"/>
    </mc:Choice>
  </mc:AlternateContent>
  <xr:revisionPtr revIDLastSave="0" documentId="8_{B51E5015-F82F-4615-A4B8-F6560045F42B}" xr6:coauthVersionLast="47" xr6:coauthVersionMax="47" xr10:uidLastSave="{00000000-0000-0000-0000-000000000000}"/>
  <bookViews>
    <workbookView xWindow="-110" yWindow="-110" windowWidth="19420" windowHeight="10300" tabRatio="663" activeTab="2" xr2:uid="{AC0AAEB2-11B7-441C-8B5C-BBC6B9E744E9}"/>
  </bookViews>
  <sheets>
    <sheet name="Tech_Stock_Prjct" sheetId="2" r:id="rId1"/>
    <sheet name="Pivot_Table" sheetId="4" r:id="rId2"/>
    <sheet name="Finance_Dahboard" sheetId="6" r:id="rId3"/>
    <sheet name="Exec_Summary" sheetId="7" r:id="rId4"/>
  </sheets>
  <definedNames>
    <definedName name="ExternalData_1" localSheetId="0" hidden="1">Tech_Stock_Prjct!$A$1:$H$1526</definedName>
    <definedName name="Slicer_Source.Name">#N/A</definedName>
  </definedNames>
  <calcPr calcId="191029"/>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4" l="1"/>
  <c r="B12"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E7A133-D4E5-4365-8FA0-8E17557DAC0F}"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69D9470B-3382-483B-B6FF-F64BDF3338D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013A0991-B818-4863-A0DC-CF78F19E2749}" keepAlive="1" name="Query - Tech_Stock_Prjct" description="Connection to the 'Tech_Stock_Prjct' query in the workbook." type="5" refreshedVersion="7" background="1" saveData="1">
    <dbPr connection="Provider=Microsoft.Mashup.OleDb.1;Data Source=$Workbook$;Location=Tech_Stock_Prjct;Extended Properties=&quot;&quot;" command="SELECT * FROM [Tech_Stock_Prjct]"/>
  </connection>
  <connection id="4" xr16:uid="{0395AFB2-6E80-448F-8839-D49C0739CBB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15D95D5F-DA18-4B5B-BB2D-B12559FE1904}"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<sst xmlns="http://schemas.openxmlformats.org/spreadsheetml/2006/main" count="3102" uniqueCount="1106">
  <si>
    <t>Source.Name</t>
  </si>
  <si>
    <t>Date</t>
  </si>
  <si>
    <t>Price</t>
  </si>
  <si>
    <t>Open</t>
  </si>
  <si>
    <t>High</t>
  </si>
  <si>
    <t>Low</t>
  </si>
  <si>
    <t>Vol.</t>
  </si>
  <si>
    <t>Change %</t>
  </si>
  <si>
    <t>GOOGL</t>
  </si>
  <si>
    <t>645.62M</t>
  </si>
  <si>
    <t>529.99M</t>
  </si>
  <si>
    <t>569.36M</t>
  </si>
  <si>
    <t>532.68M</t>
  </si>
  <si>
    <t>550.74M</t>
  </si>
  <si>
    <t>526.15M</t>
  </si>
  <si>
    <t>461.09M</t>
  </si>
  <si>
    <t>542.41M</t>
  </si>
  <si>
    <t>659.88M</t>
  </si>
  <si>
    <t>672.72M</t>
  </si>
  <si>
    <t>647.51M</t>
  </si>
  <si>
    <t>581.87M</t>
  </si>
  <si>
    <t>620.00M</t>
  </si>
  <si>
    <t>535.34M</t>
  </si>
  <si>
    <t>680.76M</t>
  </si>
  <si>
    <t>477.63M</t>
  </si>
  <si>
    <t>593.52M</t>
  </si>
  <si>
    <t>707.11M</t>
  </si>
  <si>
    <t>656.88M</t>
  </si>
  <si>
    <t>820.61M</t>
  </si>
  <si>
    <t>604.11M</t>
  </si>
  <si>
    <t>860.05M</t>
  </si>
  <si>
    <t>952.71M</t>
  </si>
  <si>
    <t>672.90M</t>
  </si>
  <si>
    <t>602.72M</t>
  </si>
  <si>
    <t>716.54M</t>
  </si>
  <si>
    <t>681.65M</t>
  </si>
  <si>
    <t>613.29M</t>
  </si>
  <si>
    <t>515.88M</t>
  </si>
  <si>
    <t>789.63M</t>
  </si>
  <si>
    <t>770.87M</t>
  </si>
  <si>
    <t>850.45M</t>
  </si>
  <si>
    <t>761.18M</t>
  </si>
  <si>
    <t>729.20M</t>
  </si>
  <si>
    <t>928.15M</t>
  </si>
  <si>
    <t>767.40M</t>
  </si>
  <si>
    <t>620.40M</t>
  </si>
  <si>
    <t>608.46M</t>
  </si>
  <si>
    <t>720.80M</t>
  </si>
  <si>
    <t>590.91M</t>
  </si>
  <si>
    <t>461.62M</t>
  </si>
  <si>
    <t>610.84M</t>
  </si>
  <si>
    <t>544.96M</t>
  </si>
  <si>
    <t>603.50M</t>
  </si>
  <si>
    <t>702.40M</t>
  </si>
  <si>
    <t>756.76M</t>
  </si>
  <si>
    <t>678.36M</t>
  </si>
  <si>
    <t>791.71M</t>
  </si>
  <si>
    <t>608.67M</t>
  </si>
  <si>
    <t>632.00M</t>
  </si>
  <si>
    <t>855.06M</t>
  </si>
  <si>
    <t>836.69M</t>
  </si>
  <si>
    <t>614.67M</t>
  </si>
  <si>
    <t>823.14M</t>
  </si>
  <si>
    <t>814.32M</t>
  </si>
  <si>
    <t>725.27M</t>
  </si>
  <si>
    <t>1.12B</t>
  </si>
  <si>
    <t>1.57B</t>
  </si>
  <si>
    <t>831.30M</t>
  </si>
  <si>
    <t>674.01M</t>
  </si>
  <si>
    <t>565.60M</t>
  </si>
  <si>
    <t>527.19M</t>
  </si>
  <si>
    <t>622.54M</t>
  </si>
  <si>
    <t>525.49M</t>
  </si>
  <si>
    <t>587.06M</t>
  </si>
  <si>
    <t>715.27M</t>
  </si>
  <si>
    <t>712.48M</t>
  </si>
  <si>
    <t>742.74M</t>
  </si>
  <si>
    <t>647.50M</t>
  </si>
  <si>
    <t>663.72M</t>
  </si>
  <si>
    <t>652.20M</t>
  </si>
  <si>
    <t>697.20M</t>
  </si>
  <si>
    <t>857.40M</t>
  </si>
  <si>
    <t>786.27M</t>
  </si>
  <si>
    <t>1.13B</t>
  </si>
  <si>
    <t>718.54M</t>
  </si>
  <si>
    <t>685.97M</t>
  </si>
  <si>
    <t>836.12M</t>
  </si>
  <si>
    <t>803.69M</t>
  </si>
  <si>
    <t>740.73M</t>
  </si>
  <si>
    <t>985.04M</t>
  </si>
  <si>
    <t>1.04B</t>
  </si>
  <si>
    <t>1.03B</t>
  </si>
  <si>
    <t>657.75M</t>
  </si>
  <si>
    <t>598.81M</t>
  </si>
  <si>
    <t>573.75M</t>
  </si>
  <si>
    <t>737.09M</t>
  </si>
  <si>
    <t>592.59M</t>
  </si>
  <si>
    <t>655.52M</t>
  </si>
  <si>
    <t>838.37M</t>
  </si>
  <si>
    <t>881.70M</t>
  </si>
  <si>
    <t>707.40M</t>
  </si>
  <si>
    <t>574.43M</t>
  </si>
  <si>
    <t>691.06M</t>
  </si>
  <si>
    <t>529.84M</t>
  </si>
  <si>
    <t>736.81M</t>
  </si>
  <si>
    <t>687.13M</t>
  </si>
  <si>
    <t>967.07M</t>
  </si>
  <si>
    <t>707.83M</t>
  </si>
  <si>
    <t>631.54M</t>
  </si>
  <si>
    <t>577.14M</t>
  </si>
  <si>
    <t>653.35M</t>
  </si>
  <si>
    <t>839.58M</t>
  </si>
  <si>
    <t>682.16M</t>
  </si>
  <si>
    <t>933.24M</t>
  </si>
  <si>
    <t>853.39M</t>
  </si>
  <si>
    <t>1.35B</t>
  </si>
  <si>
    <t>873.01M</t>
  </si>
  <si>
    <t>751.55M</t>
  </si>
  <si>
    <t>1.01B</t>
  </si>
  <si>
    <t>871.53M</t>
  </si>
  <si>
    <t>1.11B</t>
  </si>
  <si>
    <t>1.37B</t>
  </si>
  <si>
    <t>704.36M</t>
  </si>
  <si>
    <t>648.44M</t>
  </si>
  <si>
    <t>874.93M</t>
  </si>
  <si>
    <t>864.15M</t>
  </si>
  <si>
    <t>808.41M</t>
  </si>
  <si>
    <t>1.06B</t>
  </si>
  <si>
    <t>1.09B</t>
  </si>
  <si>
    <t>595.51M</t>
  </si>
  <si>
    <t>709.29M</t>
  </si>
  <si>
    <t>582.36M</t>
  </si>
  <si>
    <t>772.29M</t>
  </si>
  <si>
    <t>790.26M</t>
  </si>
  <si>
    <t>829.36M</t>
  </si>
  <si>
    <t>1.34B</t>
  </si>
  <si>
    <t>874.06M</t>
  </si>
  <si>
    <t>812.86M</t>
  </si>
  <si>
    <t>677.56M</t>
  </si>
  <si>
    <t>525.53M</t>
  </si>
  <si>
    <t>662.94M</t>
  </si>
  <si>
    <t>670.19M</t>
  </si>
  <si>
    <t>972.01M</t>
  </si>
  <si>
    <t>989.06M</t>
  </si>
  <si>
    <t>1.07B</t>
  </si>
  <si>
    <t>851.20M</t>
  </si>
  <si>
    <t>927.25M</t>
  </si>
  <si>
    <t>1.05B</t>
  </si>
  <si>
    <t>834.17M</t>
  </si>
  <si>
    <t>933.83M</t>
  </si>
  <si>
    <t>1.44B</t>
  </si>
  <si>
    <t>1.20B</t>
  </si>
  <si>
    <t>941.44M</t>
  </si>
  <si>
    <t>930.38M</t>
  </si>
  <si>
    <t>1.17B</t>
  </si>
  <si>
    <t>1.18B</t>
  </si>
  <si>
    <t>946.81M</t>
  </si>
  <si>
    <t>947.45M</t>
  </si>
  <si>
    <t>1.47B</t>
  </si>
  <si>
    <t>1.10B</t>
  </si>
  <si>
    <t>1.21B</t>
  </si>
  <si>
    <t>1.54B</t>
  </si>
  <si>
    <t>2.14B</t>
  </si>
  <si>
    <t>1.62B</t>
  </si>
  <si>
    <t>905.42M</t>
  </si>
  <si>
    <t>1.41B</t>
  </si>
  <si>
    <t>838.07M</t>
  </si>
  <si>
    <t>846.30M</t>
  </si>
  <si>
    <t>1.59B</t>
  </si>
  <si>
    <t>1.39B</t>
  </si>
  <si>
    <t>1.63B</t>
  </si>
  <si>
    <t>1.46B</t>
  </si>
  <si>
    <t>1.68B</t>
  </si>
  <si>
    <t>1.78B</t>
  </si>
  <si>
    <t>852.91M</t>
  </si>
  <si>
    <t>818.53M</t>
  </si>
  <si>
    <t>1.02B</t>
  </si>
  <si>
    <t>975.48M</t>
  </si>
  <si>
    <t>1.14B</t>
  </si>
  <si>
    <t>1.76B</t>
  </si>
  <si>
    <t>2.29B</t>
  </si>
  <si>
    <t>2.23B</t>
  </si>
  <si>
    <t>2.20B</t>
  </si>
  <si>
    <t>2.26B</t>
  </si>
  <si>
    <t>3.16B</t>
  </si>
  <si>
    <t>3.99B</t>
  </si>
  <si>
    <t>2.80B</t>
  </si>
  <si>
    <t>1.38B</t>
  </si>
  <si>
    <t>2.08B</t>
  </si>
  <si>
    <t>1.88B</t>
  </si>
  <si>
    <t>2.09B</t>
  </si>
  <si>
    <t>2.86B</t>
  </si>
  <si>
    <t>2.91B</t>
  </si>
  <si>
    <t>3.54B</t>
  </si>
  <si>
    <t>1.71B</t>
  </si>
  <si>
    <t>3.43B</t>
  </si>
  <si>
    <t>3.11B</t>
  </si>
  <si>
    <t>1.77B</t>
  </si>
  <si>
    <t>2.34B</t>
  </si>
  <si>
    <t>2.59B</t>
  </si>
  <si>
    <t>2.00B</t>
  </si>
  <si>
    <t>1.87B</t>
  </si>
  <si>
    <t>2.37B</t>
  </si>
  <si>
    <t>2.28B</t>
  </si>
  <si>
    <t>2.50B</t>
  </si>
  <si>
    <t>1.84B</t>
  </si>
  <si>
    <t>3.18B</t>
  </si>
  <si>
    <t>2.43B</t>
  </si>
  <si>
    <t>2.55B</t>
  </si>
  <si>
    <t>2.85B</t>
  </si>
  <si>
    <t>3.50B</t>
  </si>
  <si>
    <t>3.71B</t>
  </si>
  <si>
    <t>6.15B</t>
  </si>
  <si>
    <t>5.95B</t>
  </si>
  <si>
    <t>5.99B</t>
  </si>
  <si>
    <t>3.97B</t>
  </si>
  <si>
    <t>4.24B</t>
  </si>
  <si>
    <t>3.88B</t>
  </si>
  <si>
    <t>3.41B</t>
  </si>
  <si>
    <t>2.87B</t>
  </si>
  <si>
    <t>4.14B</t>
  </si>
  <si>
    <t>7.84B</t>
  </si>
  <si>
    <t>5.09B</t>
  </si>
  <si>
    <t>4.56B</t>
  </si>
  <si>
    <t>3.45B</t>
  </si>
  <si>
    <t>6.53B</t>
  </si>
  <si>
    <t>4.11B</t>
  </si>
  <si>
    <t>AMZN</t>
  </si>
  <si>
    <t>760.92M</t>
  </si>
  <si>
    <t>905.94M</t>
  </si>
  <si>
    <t>734.07M</t>
  </si>
  <si>
    <t>765.13M</t>
  </si>
  <si>
    <t>971.02M</t>
  </si>
  <si>
    <t>868.12M</t>
  </si>
  <si>
    <t>813.28M</t>
  </si>
  <si>
    <t>892.34M</t>
  </si>
  <si>
    <t>917.17M</t>
  </si>
  <si>
    <t>702.06M</t>
  </si>
  <si>
    <t>954.01M</t>
  </si>
  <si>
    <t>931.32M</t>
  </si>
  <si>
    <t>1.22B</t>
  </si>
  <si>
    <t>1.24B</t>
  </si>
  <si>
    <t>1.43B</t>
  </si>
  <si>
    <t>1.36B</t>
  </si>
  <si>
    <t>1.52B</t>
  </si>
  <si>
    <t>1.55B</t>
  </si>
  <si>
    <t>2.04B</t>
  </si>
  <si>
    <t>1.69B</t>
  </si>
  <si>
    <t>1.53B</t>
  </si>
  <si>
    <t>1.29B</t>
  </si>
  <si>
    <t>1.27B</t>
  </si>
  <si>
    <t>1.25B</t>
  </si>
  <si>
    <t>1.26B</t>
  </si>
  <si>
    <t>1.67B</t>
  </si>
  <si>
    <t>1.50B</t>
  </si>
  <si>
    <t>1.56B</t>
  </si>
  <si>
    <t>1.82B</t>
  </si>
  <si>
    <t>2.33B</t>
  </si>
  <si>
    <t>2.32B</t>
  </si>
  <si>
    <t>1.65B</t>
  </si>
  <si>
    <t>2.49B</t>
  </si>
  <si>
    <t>3.28B</t>
  </si>
  <si>
    <t>1.85B</t>
  </si>
  <si>
    <t>1.70B</t>
  </si>
  <si>
    <t>1.60B</t>
  </si>
  <si>
    <t>1.49B</t>
  </si>
  <si>
    <t>1.96B</t>
  </si>
  <si>
    <t>2.02B</t>
  </si>
  <si>
    <t>2.68B</t>
  </si>
  <si>
    <t>3.10B</t>
  </si>
  <si>
    <t>2.79B</t>
  </si>
  <si>
    <t>3.66B</t>
  </si>
  <si>
    <t>1.89B</t>
  </si>
  <si>
    <t>1.93B</t>
  </si>
  <si>
    <t>1.95B</t>
  </si>
  <si>
    <t>1.72B</t>
  </si>
  <si>
    <t>2.60B</t>
  </si>
  <si>
    <t>2.61B</t>
  </si>
  <si>
    <t>2.76B</t>
  </si>
  <si>
    <t>1.16B</t>
  </si>
  <si>
    <t>1.19B</t>
  </si>
  <si>
    <t>1.58B</t>
  </si>
  <si>
    <t>1.92B</t>
  </si>
  <si>
    <t>1.00B</t>
  </si>
  <si>
    <t>1.81B</t>
  </si>
  <si>
    <t>2.48B</t>
  </si>
  <si>
    <t>1.80B</t>
  </si>
  <si>
    <t>1.75B</t>
  </si>
  <si>
    <t>1.94B</t>
  </si>
  <si>
    <t>1.66B</t>
  </si>
  <si>
    <t>1.42B</t>
  </si>
  <si>
    <t>2.06B</t>
  </si>
  <si>
    <t>1.74B</t>
  </si>
  <si>
    <t>2.22B</t>
  </si>
  <si>
    <t>1.99B</t>
  </si>
  <si>
    <t>2.77B</t>
  </si>
  <si>
    <t>1.51B</t>
  </si>
  <si>
    <t>1.08B</t>
  </si>
  <si>
    <t>870.10M</t>
  </si>
  <si>
    <t>876.17M</t>
  </si>
  <si>
    <t>1.32B</t>
  </si>
  <si>
    <t>1.86B</t>
  </si>
  <si>
    <t>2.21B</t>
  </si>
  <si>
    <t>2.93B</t>
  </si>
  <si>
    <t>2.51B</t>
  </si>
  <si>
    <t>2.73B</t>
  </si>
  <si>
    <t>3.19B</t>
  </si>
  <si>
    <t>1.91B</t>
  </si>
  <si>
    <t>2.13B</t>
  </si>
  <si>
    <t>2.38B</t>
  </si>
  <si>
    <t>2.27B</t>
  </si>
  <si>
    <t>2.62B</t>
  </si>
  <si>
    <t>2.69B</t>
  </si>
  <si>
    <t>3.51B</t>
  </si>
  <si>
    <t>2.67B</t>
  </si>
  <si>
    <t>2.82B</t>
  </si>
  <si>
    <t>3.46B</t>
  </si>
  <si>
    <t>4.20B</t>
  </si>
  <si>
    <t>4.62B</t>
  </si>
  <si>
    <t>4.15B</t>
  </si>
  <si>
    <t>3.21B</t>
  </si>
  <si>
    <t>5.37B</t>
  </si>
  <si>
    <t>2.56B</t>
  </si>
  <si>
    <t>2.25B</t>
  </si>
  <si>
    <t>3.04B</t>
  </si>
  <si>
    <t>2.75B</t>
  </si>
  <si>
    <t>3.70B</t>
  </si>
  <si>
    <t>4.55B</t>
  </si>
  <si>
    <t>3.74B</t>
  </si>
  <si>
    <t>4.09B</t>
  </si>
  <si>
    <t>4.13B</t>
  </si>
  <si>
    <t>4.57B</t>
  </si>
  <si>
    <t>6.64B</t>
  </si>
  <si>
    <t>3.85B</t>
  </si>
  <si>
    <t>2.98B</t>
  </si>
  <si>
    <t>4.32B</t>
  </si>
  <si>
    <t>3.07B</t>
  </si>
  <si>
    <t>3.05B</t>
  </si>
  <si>
    <t>3.96B</t>
  </si>
  <si>
    <t>4.23B</t>
  </si>
  <si>
    <t>5.77B</t>
  </si>
  <si>
    <t>2.54B</t>
  </si>
  <si>
    <t>3.60B</t>
  </si>
  <si>
    <t>4.64B</t>
  </si>
  <si>
    <t>2.45B</t>
  </si>
  <si>
    <t>5.32B</t>
  </si>
  <si>
    <t>4.79B</t>
  </si>
  <si>
    <t>6.61B</t>
  </si>
  <si>
    <t>6.98B</t>
  </si>
  <si>
    <t>2.94B</t>
  </si>
  <si>
    <t>2.92B</t>
  </si>
  <si>
    <t>4.59B</t>
  </si>
  <si>
    <t>2.30B</t>
  </si>
  <si>
    <t>2.44B</t>
  </si>
  <si>
    <t>3.31B</t>
  </si>
  <si>
    <t>2.47B</t>
  </si>
  <si>
    <t>2.42B</t>
  </si>
  <si>
    <t>4.33B</t>
  </si>
  <si>
    <t>2.96B</t>
  </si>
  <si>
    <t>2.10B</t>
  </si>
  <si>
    <t>2.31B</t>
  </si>
  <si>
    <t>3.69B</t>
  </si>
  <si>
    <t>3.32B</t>
  </si>
  <si>
    <t>2.40B</t>
  </si>
  <si>
    <t>4.42B</t>
  </si>
  <si>
    <t>3.91B</t>
  </si>
  <si>
    <t>AAPL</t>
  </si>
  <si>
    <t>977.94M</t>
  </si>
  <si>
    <t>891.64M</t>
  </si>
  <si>
    <t>930.84M</t>
  </si>
  <si>
    <t>1.23B</t>
  </si>
  <si>
    <t>1.15B</t>
  </si>
  <si>
    <t>996.37M</t>
  </si>
  <si>
    <t>1.30B</t>
  </si>
  <si>
    <t>1.28B</t>
  </si>
  <si>
    <t>969.78M</t>
  </si>
  <si>
    <t>1.31B</t>
  </si>
  <si>
    <t>1.45B</t>
  </si>
  <si>
    <t>2.18B</t>
  </si>
  <si>
    <t>2.11B</t>
  </si>
  <si>
    <t>1.61B</t>
  </si>
  <si>
    <t>2.65B</t>
  </si>
  <si>
    <t>1.83B</t>
  </si>
  <si>
    <t>2.24B</t>
  </si>
  <si>
    <t>2.12B</t>
  </si>
  <si>
    <t>2.90B</t>
  </si>
  <si>
    <t>3.89B</t>
  </si>
  <si>
    <t>4.07B</t>
  </si>
  <si>
    <t>3.02B</t>
  </si>
  <si>
    <t>3.24B</t>
  </si>
  <si>
    <t>2.81B</t>
  </si>
  <si>
    <t>3.27B</t>
  </si>
  <si>
    <t>6.28B</t>
  </si>
  <si>
    <t>2.19B</t>
  </si>
  <si>
    <t>1.90B</t>
  </si>
  <si>
    <t>2.72B</t>
  </si>
  <si>
    <t>2.64B</t>
  </si>
  <si>
    <t>2.74B</t>
  </si>
  <si>
    <t>2.89B</t>
  </si>
  <si>
    <t>2.52B</t>
  </si>
  <si>
    <t>3.12B</t>
  </si>
  <si>
    <t>3.49B</t>
  </si>
  <si>
    <t>3.00B</t>
  </si>
  <si>
    <t>4.45B</t>
  </si>
  <si>
    <t>4.83B</t>
  </si>
  <si>
    <t>6.43B</t>
  </si>
  <si>
    <t>3.82B</t>
  </si>
  <si>
    <t>3.98B</t>
  </si>
  <si>
    <t>5.22B</t>
  </si>
  <si>
    <t>4.30B</t>
  </si>
  <si>
    <t>5.44B</t>
  </si>
  <si>
    <t>6.11B</t>
  </si>
  <si>
    <t>3.75B</t>
  </si>
  <si>
    <t>5.74B</t>
  </si>
  <si>
    <t>6.44B</t>
  </si>
  <si>
    <t>5.01B</t>
  </si>
  <si>
    <t>5.89B</t>
  </si>
  <si>
    <t>8.81B</t>
  </si>
  <si>
    <t>7.06B</t>
  </si>
  <si>
    <t>5.23B</t>
  </si>
  <si>
    <t>8.64B</t>
  </si>
  <si>
    <t>8.06B</t>
  </si>
  <si>
    <t>6.54B</t>
  </si>
  <si>
    <t>7.02B</t>
  </si>
  <si>
    <t>9.45B</t>
  </si>
  <si>
    <t>10.97B</t>
  </si>
  <si>
    <t>9.18B</t>
  </si>
  <si>
    <t>9.34B</t>
  </si>
  <si>
    <t>13.12B</t>
  </si>
  <si>
    <t>12.14B</t>
  </si>
  <si>
    <t>12.93B</t>
  </si>
  <si>
    <t>9.20B</t>
  </si>
  <si>
    <t>8.28B</t>
  </si>
  <si>
    <t>8.91B</t>
  </si>
  <si>
    <t>7.86B</t>
  </si>
  <si>
    <t>11.11B</t>
  </si>
  <si>
    <t>15.60B</t>
  </si>
  <si>
    <t>15.58B</t>
  </si>
  <si>
    <t>11.37B</t>
  </si>
  <si>
    <t>6.86B</t>
  </si>
  <si>
    <t>6.31B</t>
  </si>
  <si>
    <t>8.97B</t>
  </si>
  <si>
    <t>13.14B</t>
  </si>
  <si>
    <t>11.98B</t>
  </si>
  <si>
    <t>16.14B</t>
  </si>
  <si>
    <t>10.65B</t>
  </si>
  <si>
    <t>9.27B</t>
  </si>
  <si>
    <t>6.91B</t>
  </si>
  <si>
    <t>9.25B</t>
  </si>
  <si>
    <t>11.30B</t>
  </si>
  <si>
    <t>9.30B</t>
  </si>
  <si>
    <t>10.84B</t>
  </si>
  <si>
    <t>9.51B</t>
  </si>
  <si>
    <t>12.25B</t>
  </si>
  <si>
    <t>11.85B</t>
  </si>
  <si>
    <t>9.59B</t>
  </si>
  <si>
    <t>15.67B</t>
  </si>
  <si>
    <t>16.65B</t>
  </si>
  <si>
    <t>18.08B</t>
  </si>
  <si>
    <t>12.37B</t>
  </si>
  <si>
    <t>12.16B</t>
  </si>
  <si>
    <t>10.78B</t>
  </si>
  <si>
    <t>15.17B</t>
  </si>
  <si>
    <t>11.40B</t>
  </si>
  <si>
    <t>8.46B</t>
  </si>
  <si>
    <t>12.96B</t>
  </si>
  <si>
    <t>9.99B</t>
  </si>
  <si>
    <t>8.17B</t>
  </si>
  <si>
    <t>10.94B</t>
  </si>
  <si>
    <t>12.68B</t>
  </si>
  <si>
    <t>9.46B</t>
  </si>
  <si>
    <t>11.82B</t>
  </si>
  <si>
    <t>15.43B</t>
  </si>
  <si>
    <t>13.87B</t>
  </si>
  <si>
    <t>18.23B</t>
  </si>
  <si>
    <t>20.29B</t>
  </si>
  <si>
    <t>23.63B</t>
  </si>
  <si>
    <t>41.45B</t>
  </si>
  <si>
    <t>24.07B</t>
  </si>
  <si>
    <t>13.09B</t>
  </si>
  <si>
    <t>19.75B</t>
  </si>
  <si>
    <t>19.48B</t>
  </si>
  <si>
    <t>18.59B</t>
  </si>
  <si>
    <t>22.79B</t>
  </si>
  <si>
    <t>22.93B</t>
  </si>
  <si>
    <t>24.87B</t>
  </si>
  <si>
    <t>35.19B</t>
  </si>
  <si>
    <t>17.26B</t>
  </si>
  <si>
    <t>26.20B</t>
  </si>
  <si>
    <t>23.28B</t>
  </si>
  <si>
    <t>20.93B</t>
  </si>
  <si>
    <t>24.37B</t>
  </si>
  <si>
    <t>24.18B</t>
  </si>
  <si>
    <t>23.32B</t>
  </si>
  <si>
    <t>17.39B</t>
  </si>
  <si>
    <t>13.52B</t>
  </si>
  <si>
    <t>15.94B</t>
  </si>
  <si>
    <t>13.75B</t>
  </si>
  <si>
    <t>27.28B</t>
  </si>
  <si>
    <t>16.94B</t>
  </si>
  <si>
    <t>13.85B</t>
  </si>
  <si>
    <t>14.42B</t>
  </si>
  <si>
    <t>17.74B</t>
  </si>
  <si>
    <t>17.90B</t>
  </si>
  <si>
    <t>17.50B</t>
  </si>
  <si>
    <t>17.96B</t>
  </si>
  <si>
    <t>15.62B</t>
  </si>
  <si>
    <t>20.13B</t>
  </si>
  <si>
    <t>23.20B</t>
  </si>
  <si>
    <t>18.77B</t>
  </si>
  <si>
    <t>21.90B</t>
  </si>
  <si>
    <t>13.07B</t>
  </si>
  <si>
    <t>13.47B</t>
  </si>
  <si>
    <t>18.69B</t>
  </si>
  <si>
    <t>12.36B</t>
  </si>
  <si>
    <t>10.23B</t>
  </si>
  <si>
    <t>11.43B</t>
  </si>
  <si>
    <t>12.92B</t>
  </si>
  <si>
    <t>14.73B</t>
  </si>
  <si>
    <t>21.49B</t>
  </si>
  <si>
    <t>25.87B</t>
  </si>
  <si>
    <t>META</t>
  </si>
  <si>
    <t>6.02M</t>
  </si>
  <si>
    <t>237.81M</t>
  </si>
  <si>
    <t>265.91M</t>
  </si>
  <si>
    <t>246.45M</t>
  </si>
  <si>
    <t>323.38M</t>
  </si>
  <si>
    <t>324.02M</t>
  </si>
  <si>
    <t>226.95M</t>
  </si>
  <si>
    <t>282.49M</t>
  </si>
  <si>
    <t>437.30M</t>
  </si>
  <si>
    <t>279.21M</t>
  </si>
  <si>
    <t>466.26M</t>
  </si>
  <si>
    <t>346.97M</t>
  </si>
  <si>
    <t>334.63M</t>
  </si>
  <si>
    <t>329.35M</t>
  </si>
  <si>
    <t>511.37M</t>
  </si>
  <si>
    <t>406.80M</t>
  </si>
  <si>
    <t>424.63M</t>
  </si>
  <si>
    <t>625.34M</t>
  </si>
  <si>
    <t>481.18M</t>
  </si>
  <si>
    <t>487.17M</t>
  </si>
  <si>
    <t>446.69M</t>
  </si>
  <si>
    <t>690.45M</t>
  </si>
  <si>
    <t>772.20M</t>
  </si>
  <si>
    <t>548.77M</t>
  </si>
  <si>
    <t>653.02M</t>
  </si>
  <si>
    <t>635.06M</t>
  </si>
  <si>
    <t>551.92M</t>
  </si>
  <si>
    <t>586.55M</t>
  </si>
  <si>
    <t>686.38M</t>
  </si>
  <si>
    <t>680.55M</t>
  </si>
  <si>
    <t>672.30M</t>
  </si>
  <si>
    <t>733.29M</t>
  </si>
  <si>
    <t>427.35M</t>
  </si>
  <si>
    <t>438.30M</t>
  </si>
  <si>
    <t>441.12M</t>
  </si>
  <si>
    <t>588.38M</t>
  </si>
  <si>
    <t>338.13M</t>
  </si>
  <si>
    <t>226.15M</t>
  </si>
  <si>
    <t>335.42M</t>
  </si>
  <si>
    <t>344.81M</t>
  </si>
  <si>
    <t>353.42M</t>
  </si>
  <si>
    <t>421.28M</t>
  </si>
  <si>
    <t>497.46M</t>
  </si>
  <si>
    <t>317.78M</t>
  </si>
  <si>
    <t>452.70M</t>
  </si>
  <si>
    <t>363.96M</t>
  </si>
  <si>
    <t>356.80M</t>
  </si>
  <si>
    <t>454.18M</t>
  </si>
  <si>
    <t>499.18M</t>
  </si>
  <si>
    <t>574.31M</t>
  </si>
  <si>
    <t>517.67M</t>
  </si>
  <si>
    <t>548.04M</t>
  </si>
  <si>
    <t>509.64M</t>
  </si>
  <si>
    <t>541.54M</t>
  </si>
  <si>
    <t>649.51M</t>
  </si>
  <si>
    <t>317.64M</t>
  </si>
  <si>
    <t>348.10M</t>
  </si>
  <si>
    <t>278.23M</t>
  </si>
  <si>
    <t>258.58M</t>
  </si>
  <si>
    <t>330.15M</t>
  </si>
  <si>
    <t>267.51M</t>
  </si>
  <si>
    <t>295.18M</t>
  </si>
  <si>
    <t>351.06M</t>
  </si>
  <si>
    <t>426.43M</t>
  </si>
  <si>
    <t>286.82M</t>
  </si>
  <si>
    <t>382.18M</t>
  </si>
  <si>
    <t>388.17M</t>
  </si>
  <si>
    <t>302.24M</t>
  </si>
  <si>
    <t>527.56M</t>
  </si>
  <si>
    <t>558.79M</t>
  </si>
  <si>
    <t>518.15M</t>
  </si>
  <si>
    <t>622.45M</t>
  </si>
  <si>
    <t>500.47M</t>
  </si>
  <si>
    <t>549.02M</t>
  </si>
  <si>
    <t>652.76M</t>
  </si>
  <si>
    <t>387.27M</t>
  </si>
  <si>
    <t>401.14M</t>
  </si>
  <si>
    <t>751.13M</t>
  </si>
  <si>
    <t>996.23M</t>
  </si>
  <si>
    <t>516.62M</t>
  </si>
  <si>
    <t>495.66M</t>
  </si>
  <si>
    <t>317.10M</t>
  </si>
  <si>
    <t>351.00M</t>
  </si>
  <si>
    <t>318.15M</t>
  </si>
  <si>
    <t>304.83M</t>
  </si>
  <si>
    <t>303.62M</t>
  </si>
  <si>
    <t>419.91M</t>
  </si>
  <si>
    <t>414.76M</t>
  </si>
  <si>
    <t>403.66M</t>
  </si>
  <si>
    <t>275.59M</t>
  </si>
  <si>
    <t>342.10M</t>
  </si>
  <si>
    <t>384.70M</t>
  </si>
  <si>
    <t>379.00M</t>
  </si>
  <si>
    <t>408.73M</t>
  </si>
  <si>
    <t>654.60M</t>
  </si>
  <si>
    <t>313.28M</t>
  </si>
  <si>
    <t>376.58M</t>
  </si>
  <si>
    <t>365.67M</t>
  </si>
  <si>
    <t>470.11M</t>
  </si>
  <si>
    <t>451.16M</t>
  </si>
  <si>
    <t>460.56M</t>
  </si>
  <si>
    <t>741.61M</t>
  </si>
  <si>
    <t>521.56M</t>
  </si>
  <si>
    <t>874.15M</t>
  </si>
  <si>
    <t>792.71M</t>
  </si>
  <si>
    <t>440.48M</t>
  </si>
  <si>
    <t>547.23M</t>
  </si>
  <si>
    <t>571.99M</t>
  </si>
  <si>
    <t>635.40M</t>
  </si>
  <si>
    <t>709.96M</t>
  </si>
  <si>
    <t>790.78M</t>
  </si>
  <si>
    <t>537.96M</t>
  </si>
  <si>
    <t>421.87M</t>
  </si>
  <si>
    <t>542.12M</t>
  </si>
  <si>
    <t>575.35M</t>
  </si>
  <si>
    <t>475.15M</t>
  </si>
  <si>
    <t>546.21M</t>
  </si>
  <si>
    <t>534.69M</t>
  </si>
  <si>
    <t>491.02M</t>
  </si>
  <si>
    <t>721.09M</t>
  </si>
  <si>
    <t>590.83M</t>
  </si>
  <si>
    <t>863.49M</t>
  </si>
  <si>
    <t>2.03B</t>
  </si>
  <si>
    <t>788.39M</t>
  </si>
  <si>
    <t>982.14M</t>
  </si>
  <si>
    <t>738.54M</t>
  </si>
  <si>
    <t>727.18M</t>
  </si>
  <si>
    <t>957.66M</t>
  </si>
  <si>
    <t>520.23M</t>
  </si>
  <si>
    <t>667.98M</t>
  </si>
  <si>
    <t>MSFT</t>
  </si>
  <si>
    <t>439.91M</t>
  </si>
  <si>
    <t>442.32M</t>
  </si>
  <si>
    <t>440.77M</t>
  </si>
  <si>
    <t>376.97M</t>
  </si>
  <si>
    <t>451.92M</t>
  </si>
  <si>
    <t>440.45M</t>
  </si>
  <si>
    <t>342.37M</t>
  </si>
  <si>
    <t>413.81M</t>
  </si>
  <si>
    <t>441.10M</t>
  </si>
  <si>
    <t>426.45M</t>
  </si>
  <si>
    <t>444.20M</t>
  </si>
  <si>
    <t>528.49M</t>
  </si>
  <si>
    <t>522.08M</t>
  </si>
  <si>
    <t>564.17M</t>
  </si>
  <si>
    <t>540.96M</t>
  </si>
  <si>
    <t>416.77M</t>
  </si>
  <si>
    <t>479.67M</t>
  </si>
  <si>
    <t>666.96M</t>
  </si>
  <si>
    <t>547.75M</t>
  </si>
  <si>
    <t>600.86M</t>
  </si>
  <si>
    <t>551.52M</t>
  </si>
  <si>
    <t>747.75M</t>
  </si>
  <si>
    <t>615.54M</t>
  </si>
  <si>
    <t>666.17M</t>
  </si>
  <si>
    <t>591.37M</t>
  </si>
  <si>
    <t>615.33M</t>
  </si>
  <si>
    <t>671.37M</t>
  </si>
  <si>
    <t>575.60M</t>
  </si>
  <si>
    <t>477.18M</t>
  </si>
  <si>
    <t>534.99M</t>
  </si>
  <si>
    <t>621.50M</t>
  </si>
  <si>
    <t>742.90M</t>
  </si>
  <si>
    <t>627.39M</t>
  </si>
  <si>
    <t>734.35M</t>
  </si>
  <si>
    <t>697.37M</t>
  </si>
  <si>
    <t>947.99M</t>
  </si>
  <si>
    <t>625.97M</t>
  </si>
  <si>
    <t>509.89M</t>
  </si>
  <si>
    <t>516.52M</t>
  </si>
  <si>
    <t>502.93M</t>
  </si>
  <si>
    <t>441.33M</t>
  </si>
  <si>
    <t>522.69M</t>
  </si>
  <si>
    <t>508.57M</t>
  </si>
  <si>
    <t>495.09M</t>
  </si>
  <si>
    <t>568.70M</t>
  </si>
  <si>
    <t>724.98M</t>
  </si>
  <si>
    <t>490.98M</t>
  </si>
  <si>
    <t>648.00M</t>
  </si>
  <si>
    <t>594.57M</t>
  </si>
  <si>
    <t>573.47M</t>
  </si>
  <si>
    <t>631.67M</t>
  </si>
  <si>
    <t>768.53M</t>
  </si>
  <si>
    <t>692.50M</t>
  </si>
  <si>
    <t>770.51M</t>
  </si>
  <si>
    <t>765.01M</t>
  </si>
  <si>
    <t>688.96M</t>
  </si>
  <si>
    <t>984.81M</t>
  </si>
  <si>
    <t>887.89M</t>
  </si>
  <si>
    <t>559.25M</t>
  </si>
  <si>
    <t>452.66M</t>
  </si>
  <si>
    <t>393.03M</t>
  </si>
  <si>
    <t>563.29M</t>
  </si>
  <si>
    <t>477.65M</t>
  </si>
  <si>
    <t>585.58M</t>
  </si>
  <si>
    <t>484.55M</t>
  </si>
  <si>
    <t>508.32M</t>
  </si>
  <si>
    <t>547.22M</t>
  </si>
  <si>
    <t>433.16M</t>
  </si>
  <si>
    <t>589.05M</t>
  </si>
  <si>
    <t>469.10M</t>
  </si>
  <si>
    <t>714.20M</t>
  </si>
  <si>
    <t>944.29M</t>
  </si>
  <si>
    <t>720.23M</t>
  </si>
  <si>
    <t>927.55M</t>
  </si>
  <si>
    <t>480.26M</t>
  </si>
  <si>
    <t>456.63M</t>
  </si>
  <si>
    <t>569.50M</t>
  </si>
  <si>
    <t>602.59M</t>
  </si>
  <si>
    <t>509.42M</t>
  </si>
  <si>
    <t>668.26M</t>
  </si>
  <si>
    <t>750.75M</t>
  </si>
  <si>
    <t>725.66M</t>
  </si>
  <si>
    <t>574.26M</t>
  </si>
  <si>
    <t>466.20M</t>
  </si>
  <si>
    <t>421.93M</t>
  </si>
  <si>
    <t>449.95M</t>
  </si>
  <si>
    <t>376.67M</t>
  </si>
  <si>
    <t>442.76M</t>
  </si>
  <si>
    <t>469.85M</t>
  </si>
  <si>
    <t>629.72M</t>
  </si>
  <si>
    <t>517.29M</t>
  </si>
  <si>
    <t>433.19M</t>
  </si>
  <si>
    <t>489.17M</t>
  </si>
  <si>
    <t>440.74M</t>
  </si>
  <si>
    <t>494.44M</t>
  </si>
  <si>
    <t>513.58M</t>
  </si>
  <si>
    <t>613.06M</t>
  </si>
  <si>
    <t>614.84M</t>
  </si>
  <si>
    <t>526.86M</t>
  </si>
  <si>
    <t>467.08M</t>
  </si>
  <si>
    <t>647.59M</t>
  </si>
  <si>
    <t>823.99M</t>
  </si>
  <si>
    <t>530.87M</t>
  </si>
  <si>
    <t>699.03M</t>
  </si>
  <si>
    <t>641.13M</t>
  </si>
  <si>
    <t>814.77M</t>
  </si>
  <si>
    <t>927.91M</t>
  </si>
  <si>
    <t>793.07M</t>
  </si>
  <si>
    <t>662.63M</t>
  </si>
  <si>
    <t>857.33M</t>
  </si>
  <si>
    <t>673.08M</t>
  </si>
  <si>
    <t>776.50M</t>
  </si>
  <si>
    <t>725.46M</t>
  </si>
  <si>
    <t>664.85M</t>
  </si>
  <si>
    <t>633.07M</t>
  </si>
  <si>
    <t>874.54M</t>
  </si>
  <si>
    <t>824.34M</t>
  </si>
  <si>
    <t>656.51M</t>
  </si>
  <si>
    <t>918.97M</t>
  </si>
  <si>
    <t>626.81M</t>
  </si>
  <si>
    <t>523.01M</t>
  </si>
  <si>
    <t>853.30M</t>
  </si>
  <si>
    <t>860.84M</t>
  </si>
  <si>
    <t>513.93M</t>
  </si>
  <si>
    <t>731.66M</t>
  </si>
  <si>
    <t>555.81M</t>
  </si>
  <si>
    <t>574.40M</t>
  </si>
  <si>
    <t>746.15M</t>
  </si>
  <si>
    <t>778.55M</t>
  </si>
  <si>
    <t>718.23M</t>
  </si>
  <si>
    <t>932.09M</t>
  </si>
  <si>
    <t>826.64M</t>
  </si>
  <si>
    <t>800.46M</t>
  </si>
  <si>
    <t>965.36M</t>
  </si>
  <si>
    <t>945.22M</t>
  </si>
  <si>
    <t>845.03M</t>
  </si>
  <si>
    <t>780.65M</t>
  </si>
  <si>
    <t>947.41M</t>
  </si>
  <si>
    <t>893.17M</t>
  </si>
  <si>
    <t>671.80M</t>
  </si>
  <si>
    <t>846.66M</t>
  </si>
  <si>
    <t>973.17M</t>
  </si>
  <si>
    <t>940.74M</t>
  </si>
  <si>
    <t>942.42M</t>
  </si>
  <si>
    <t>984.40M</t>
  </si>
  <si>
    <t>920.65M</t>
  </si>
  <si>
    <t>993.31M</t>
  </si>
  <si>
    <t>1.64B</t>
  </si>
  <si>
    <t>1.33B</t>
  </si>
  <si>
    <t>966.27M</t>
  </si>
  <si>
    <t>1.98B</t>
  </si>
  <si>
    <t>NVDA</t>
  </si>
  <si>
    <t>4.50B</t>
  </si>
  <si>
    <t>5.63B</t>
  </si>
  <si>
    <t>6.27B</t>
  </si>
  <si>
    <t>8.11B</t>
  </si>
  <si>
    <t>6.41B</t>
  </si>
  <si>
    <t>7.44B</t>
  </si>
  <si>
    <t>9.65B</t>
  </si>
  <si>
    <t>10.07B</t>
  </si>
  <si>
    <t>12.15B</t>
  </si>
  <si>
    <t>11.08B</t>
  </si>
  <si>
    <t>9.71B</t>
  </si>
  <si>
    <t>7.41B</t>
  </si>
  <si>
    <t>9.15B</t>
  </si>
  <si>
    <t>10.14B</t>
  </si>
  <si>
    <t>8.58B</t>
  </si>
  <si>
    <t>13.64B</t>
  </si>
  <si>
    <t>8.71B</t>
  </si>
  <si>
    <t>10.53B</t>
  </si>
  <si>
    <t>11.70B</t>
  </si>
  <si>
    <t>11.27B</t>
  </si>
  <si>
    <t>10.39B</t>
  </si>
  <si>
    <t>8.95B</t>
  </si>
  <si>
    <t>10.60B</t>
  </si>
  <si>
    <t>12.55B</t>
  </si>
  <si>
    <t>13.13B</t>
  </si>
  <si>
    <t>12.07B</t>
  </si>
  <si>
    <t>10.57B</t>
  </si>
  <si>
    <t>10.56B</t>
  </si>
  <si>
    <t>13.83B</t>
  </si>
  <si>
    <t>11.65B</t>
  </si>
  <si>
    <t>10.68B</t>
  </si>
  <si>
    <t>11.06B</t>
  </si>
  <si>
    <t>10.81B</t>
  </si>
  <si>
    <t>4.97B</t>
  </si>
  <si>
    <t>5.00B</t>
  </si>
  <si>
    <t>6.42B</t>
  </si>
  <si>
    <t>7.82B</t>
  </si>
  <si>
    <t>10.27B</t>
  </si>
  <si>
    <t>7.05B</t>
  </si>
  <si>
    <t>6.72B</t>
  </si>
  <si>
    <t>7.65B</t>
  </si>
  <si>
    <t>6.68B</t>
  </si>
  <si>
    <t>6.16B</t>
  </si>
  <si>
    <t>5.12B</t>
  </si>
  <si>
    <t>7.60B</t>
  </si>
  <si>
    <t>8.02B</t>
  </si>
  <si>
    <t>15.86B</t>
  </si>
  <si>
    <t>9.67B</t>
  </si>
  <si>
    <t>8.10B</t>
  </si>
  <si>
    <t>9.72B</t>
  </si>
  <si>
    <t>11.28B</t>
  </si>
  <si>
    <t>15.78B</t>
  </si>
  <si>
    <t>11.86B</t>
  </si>
  <si>
    <t>6.13B</t>
  </si>
  <si>
    <t>6.57B</t>
  </si>
  <si>
    <t>7.34B</t>
  </si>
  <si>
    <t>7.81B</t>
  </si>
  <si>
    <t>9.55B</t>
  </si>
  <si>
    <t>8.42B</t>
  </si>
  <si>
    <t>8.23B</t>
  </si>
  <si>
    <t>11.18B</t>
  </si>
  <si>
    <t>9.44B</t>
  </si>
  <si>
    <t>11.45B</t>
  </si>
  <si>
    <t>16.87B</t>
  </si>
  <si>
    <t>12.45B</t>
  </si>
  <si>
    <t>16.16B</t>
  </si>
  <si>
    <t>12.98B</t>
  </si>
  <si>
    <t>6.34B</t>
  </si>
  <si>
    <t>10.92B</t>
  </si>
  <si>
    <t>6.32B</t>
  </si>
  <si>
    <t>8.79B</t>
  </si>
  <si>
    <t>11.15B</t>
  </si>
  <si>
    <t>14.12B</t>
  </si>
  <si>
    <t>14.92B</t>
  </si>
  <si>
    <t>11.46B</t>
  </si>
  <si>
    <t>10.11B</t>
  </si>
  <si>
    <t>11.83B</t>
  </si>
  <si>
    <t>11.42B</t>
  </si>
  <si>
    <t>14.45B</t>
  </si>
  <si>
    <t>15.49B</t>
  </si>
  <si>
    <t>23.45B</t>
  </si>
  <si>
    <t>19.21B</t>
  </si>
  <si>
    <t>9.57B</t>
  </si>
  <si>
    <t>14.29B</t>
  </si>
  <si>
    <t>14.21B</t>
  </si>
  <si>
    <t>13.40B</t>
  </si>
  <si>
    <t>12.77B</t>
  </si>
  <si>
    <t>6.55B</t>
  </si>
  <si>
    <t>8.67B</t>
  </si>
  <si>
    <t>9.31B</t>
  </si>
  <si>
    <t>7.21B</t>
  </si>
  <si>
    <t>8.20B</t>
  </si>
  <si>
    <t>10.37B</t>
  </si>
  <si>
    <t>6.73B</t>
  </si>
  <si>
    <t>6.58B</t>
  </si>
  <si>
    <t>9.00B</t>
  </si>
  <si>
    <t>8.14B</t>
  </si>
  <si>
    <t>7.35B</t>
  </si>
  <si>
    <t>8.05B</t>
  </si>
  <si>
    <t>6.48B</t>
  </si>
  <si>
    <t>9.47B</t>
  </si>
  <si>
    <t>5.48B</t>
  </si>
  <si>
    <t>7.33B</t>
  </si>
  <si>
    <t>7.08B</t>
  </si>
  <si>
    <t>5.67B</t>
  </si>
  <si>
    <t>7.31B</t>
  </si>
  <si>
    <t>4.19B</t>
  </si>
  <si>
    <t>4.26B</t>
  </si>
  <si>
    <t>5.51B</t>
  </si>
  <si>
    <t>6.08B</t>
  </si>
  <si>
    <t>5.28B</t>
  </si>
  <si>
    <t>5.61B</t>
  </si>
  <si>
    <t>6.94B</t>
  </si>
  <si>
    <t>7.22B</t>
  </si>
  <si>
    <t>7.72B</t>
  </si>
  <si>
    <t>5.42B</t>
  </si>
  <si>
    <t>6.17B</t>
  </si>
  <si>
    <t>6.63B</t>
  </si>
  <si>
    <t>4.82B</t>
  </si>
  <si>
    <t>8.29B</t>
  </si>
  <si>
    <t>9.39B</t>
  </si>
  <si>
    <t>9.90B</t>
  </si>
  <si>
    <t>8.04B</t>
  </si>
  <si>
    <t>8.75B</t>
  </si>
  <si>
    <t>9.92B</t>
  </si>
  <si>
    <t>8.50B</t>
  </si>
  <si>
    <t>11.53B</t>
  </si>
  <si>
    <t>10.33B</t>
  </si>
  <si>
    <t>13.08B</t>
  </si>
  <si>
    <t>11.60B</t>
  </si>
  <si>
    <t>9.74B</t>
  </si>
  <si>
    <t>16.17B</t>
  </si>
  <si>
    <t>14.85B</t>
  </si>
  <si>
    <t>20.09B</t>
  </si>
  <si>
    <t>22.57B</t>
  </si>
  <si>
    <t>14.55B</t>
  </si>
  <si>
    <t>15.96B</t>
  </si>
  <si>
    <t>17.17B</t>
  </si>
  <si>
    <t>15.33B</t>
  </si>
  <si>
    <t>27.60B</t>
  </si>
  <si>
    <t>24.03B</t>
  </si>
  <si>
    <t>32.74B</t>
  </si>
  <si>
    <t>11.21B</t>
  </si>
  <si>
    <t>14.54B</t>
  </si>
  <si>
    <t>15.81B</t>
  </si>
  <si>
    <t>17.53B</t>
  </si>
  <si>
    <t>19.42B</t>
  </si>
  <si>
    <t>19.24B</t>
  </si>
  <si>
    <t>13.69B</t>
  </si>
  <si>
    <t>20.77B</t>
  </si>
  <si>
    <t>17.11B</t>
  </si>
  <si>
    <t>11.75B</t>
  </si>
  <si>
    <t>12.86B</t>
  </si>
  <si>
    <t>12.90B</t>
  </si>
  <si>
    <t>16.37B</t>
  </si>
  <si>
    <t>15.52B</t>
  </si>
  <si>
    <t>12.08B</t>
  </si>
  <si>
    <t>13.23B</t>
  </si>
  <si>
    <t>16.00B</t>
  </si>
  <si>
    <t>14.68B</t>
  </si>
  <si>
    <t>21.41B</t>
  </si>
  <si>
    <t>17.63B</t>
  </si>
  <si>
    <t>22.19B</t>
  </si>
  <si>
    <t>16.30B</t>
  </si>
  <si>
    <t>15.27B</t>
  </si>
  <si>
    <t>11.71B</t>
  </si>
  <si>
    <t>12.21B</t>
  </si>
  <si>
    <t>20.47B</t>
  </si>
  <si>
    <t>19.74B</t>
  </si>
  <si>
    <t>18.65B</t>
  </si>
  <si>
    <t>22.78B</t>
  </si>
  <si>
    <t>17.18B</t>
  </si>
  <si>
    <t>20.40B</t>
  </si>
  <si>
    <t>16.63B</t>
  </si>
  <si>
    <t>13.63B</t>
  </si>
  <si>
    <t>15.50B</t>
  </si>
  <si>
    <t>7.58B</t>
  </si>
  <si>
    <t>12.06B</t>
  </si>
  <si>
    <t>10.67B</t>
  </si>
  <si>
    <t>9.49B</t>
  </si>
  <si>
    <t>15.71B</t>
  </si>
  <si>
    <t>10.43B</t>
  </si>
  <si>
    <t>14.48B</t>
  </si>
  <si>
    <t>13.54B</t>
  </si>
  <si>
    <t>14.86B</t>
  </si>
  <si>
    <t>13.53B</t>
  </si>
  <si>
    <t>17.08B</t>
  </si>
  <si>
    <t>10.03B</t>
  </si>
  <si>
    <t>13.57B</t>
  </si>
  <si>
    <t>16.27B</t>
  </si>
  <si>
    <t>12.17B</t>
  </si>
  <si>
    <t>12.31B</t>
  </si>
  <si>
    <t>14.40B</t>
  </si>
  <si>
    <t>13.41B</t>
  </si>
  <si>
    <t>15.80B</t>
  </si>
  <si>
    <t>11.91B</t>
  </si>
  <si>
    <t>9.52B</t>
  </si>
  <si>
    <t>7.66B</t>
  </si>
  <si>
    <t>13.21B</t>
  </si>
  <si>
    <t>11.12B</t>
  </si>
  <si>
    <t>14.60B</t>
  </si>
  <si>
    <t>13.70B</t>
  </si>
  <si>
    <t>16.34B</t>
  </si>
  <si>
    <t>14.35B</t>
  </si>
  <si>
    <t>9.83B</t>
  </si>
  <si>
    <t>17.52B</t>
  </si>
  <si>
    <t>13.74B</t>
  </si>
  <si>
    <t>TSLA</t>
  </si>
  <si>
    <t>2.95B</t>
  </si>
  <si>
    <t>2.39B</t>
  </si>
  <si>
    <t>3.44B</t>
  </si>
  <si>
    <t>3.63B</t>
  </si>
  <si>
    <t>3.90B</t>
  </si>
  <si>
    <t>2.01B</t>
  </si>
  <si>
    <t>1.73B</t>
  </si>
  <si>
    <t>2.83B</t>
  </si>
  <si>
    <t>3.59B</t>
  </si>
  <si>
    <t>2.35B</t>
  </si>
  <si>
    <t>5.21B</t>
  </si>
  <si>
    <t>4.67B</t>
  </si>
  <si>
    <t>5.68B</t>
  </si>
  <si>
    <t>3.84B</t>
  </si>
  <si>
    <t>5.72B</t>
  </si>
  <si>
    <t>7.10B</t>
  </si>
  <si>
    <t>6.12B</t>
  </si>
  <si>
    <t>3.53B</t>
  </si>
  <si>
    <t>2.05B</t>
  </si>
  <si>
    <t>2.99B</t>
  </si>
  <si>
    <t>3.22B</t>
  </si>
  <si>
    <t>2.63B</t>
  </si>
  <si>
    <t>4.16B</t>
  </si>
  <si>
    <t>3.20B</t>
  </si>
  <si>
    <t>2.36B</t>
  </si>
  <si>
    <t>1.79B</t>
  </si>
  <si>
    <t>1.48B</t>
  </si>
  <si>
    <t>934.37M</t>
  </si>
  <si>
    <t>897.78M</t>
  </si>
  <si>
    <t>982.10M</t>
  </si>
  <si>
    <t>3.40B</t>
  </si>
  <si>
    <t>2.97B</t>
  </si>
  <si>
    <t>4.63B</t>
  </si>
  <si>
    <t>2.57B</t>
  </si>
  <si>
    <t>444.99M</t>
  </si>
  <si>
    <t>663.90M</t>
  </si>
  <si>
    <t>426.96M</t>
  </si>
  <si>
    <t>325.74M</t>
  </si>
  <si>
    <t>356.46M</t>
  </si>
  <si>
    <t>264.39M</t>
  </si>
  <si>
    <t>499.54M</t>
  </si>
  <si>
    <t>367.23M</t>
  </si>
  <si>
    <t>488.21M</t>
  </si>
  <si>
    <t>391.99M</t>
  </si>
  <si>
    <t>512.78M</t>
  </si>
  <si>
    <t>341.43M</t>
  </si>
  <si>
    <t>332.48M</t>
  </si>
  <si>
    <t>347.96M</t>
  </si>
  <si>
    <t>384.24M</t>
  </si>
  <si>
    <t>316.94M</t>
  </si>
  <si>
    <t>387.83M</t>
  </si>
  <si>
    <t>324.95M</t>
  </si>
  <si>
    <t>270.33M</t>
  </si>
  <si>
    <t>408.36M</t>
  </si>
  <si>
    <t>316.58M</t>
  </si>
  <si>
    <t>596.01M</t>
  </si>
  <si>
    <t>455.30M</t>
  </si>
  <si>
    <t>448.75M</t>
  </si>
  <si>
    <t>488.52M</t>
  </si>
  <si>
    <t>439.76M</t>
  </si>
  <si>
    <t>553.52M</t>
  </si>
  <si>
    <t>424.84M</t>
  </si>
  <si>
    <t>98.29M</t>
  </si>
  <si>
    <t>270.73M</t>
  </si>
  <si>
    <t>225.76M</t>
  </si>
  <si>
    <t>969.51M</t>
  </si>
  <si>
    <t>Daily Return</t>
  </si>
  <si>
    <t>Row Labels</t>
  </si>
  <si>
    <t>Grand Total</t>
  </si>
  <si>
    <t>Average of Daily Return</t>
  </si>
  <si>
    <t>StdDev of Daily Return</t>
  </si>
  <si>
    <t>2005</t>
  </si>
  <si>
    <t>2006</t>
  </si>
  <si>
    <t>2007</t>
  </si>
  <si>
    <t>2008</t>
  </si>
  <si>
    <t>2009</t>
  </si>
  <si>
    <t>2010</t>
  </si>
  <si>
    <t>2011</t>
  </si>
  <si>
    <t>2012</t>
  </si>
  <si>
    <t>2013</t>
  </si>
  <si>
    <t>2014</t>
  </si>
  <si>
    <t>2015</t>
  </si>
  <si>
    <t>2016</t>
  </si>
  <si>
    <t>2017</t>
  </si>
  <si>
    <t>2018</t>
  </si>
  <si>
    <t>2019</t>
  </si>
  <si>
    <t>2020</t>
  </si>
  <si>
    <t>2021</t>
  </si>
  <si>
    <t>2022</t>
  </si>
  <si>
    <t>2023</t>
  </si>
  <si>
    <t>2024</t>
  </si>
  <si>
    <t>Column Labels</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</si>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</sst>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69" formatCode="0.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NumberFormat="1"/>
    <xf numFmtId="14" fontId="0" fillId="0" borderId="0" xfId="0" applyNumberFormat="1"/>
    <xf numFmtId="168" fontId="0" fillId="0" borderId="0" xfId="1" applyNumberFormat="1" applyFont="1"/>
    <xf numFmtId="0" fontId="0" fillId="0" borderId="0" xfId="0" pivotButton="1"/>
    <xf numFmtId="0" fontId="0" fillId="0" borderId="0" xfId="0" applyAlignment="1">
      <alignment horizontal="left"/>
    </xf>
    <xf numFmtId="169" fontId="0" fillId="0" borderId="0" xfId="0" applyNumberFormat="1"/>
  </cellXfs>
  <cellStyles count="2">
    <cellStyle name="Normal" xfId="0" builtinId="0"/>
    <cellStyle name="Percent" xfId="1" builtinId="5"/>
  </cellStyles>
  <dxfs count="4">
    <dxf>
      <numFmt numFmtId="168" formatCode="0.0%"/>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[Tech_Stock_Project.xlsx]Pivot_Table!PivotTable4</c:name>
    <c:fmtId val="2"/>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Average of Daily Return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Pivot_Table!$A$4:$A$11</c:f>
              <c:strCache>
                <c:ptCount val="7"/>
                <c:pt idx="0">
                  <c:v>AAPL</c:v>
                </c:pt>
                <c:pt idx="1">
                  <c:v>AMZN</c:v>
                </c:pt>
                <c:pt idx="2">
                  <c:v>GOOGL</c:v>
                </c:pt>
                <c:pt idx="3">
                  <c:v>META</c:v>
                </c:pt>
                <c:pt idx="4">
                  <c:v>MSFT</c:v>
                </c:pt>
                <c:pt idx="5">
                  <c:v>NVDA</c:v>
                </c:pt>
                <c:pt idx="6">
                  <c:v>TSLA</c:v>
                </c:pt>
              </c:strCache>
            </c:strRef>
          </c:cat>
          <c:val>
            <c:numRef>
              <c:f>Pivot_Table!$B$4:$B$11</c:f>
              <c:numCache>
                <c:formatCode>0.000</c:formatCode>
                <c:ptCount val="7"/>
                <c:pt idx="0">
                  <c:v>2.5965390266743313E-2</c:v>
                </c:pt>
                <c:pt idx="1">
                  <c:v>2.4550808058367332E-2</c:v>
                </c:pt>
                <c:pt idx="2">
                  <c:v>1.8528698528176901E-2</c:v>
                </c:pt>
                <c:pt idx="3">
                  <c:v>2.5547179594763821E-2</c:v>
                </c:pt>
                <c:pt idx="4">
                  <c:v>1.3727570053097776E-2</c:v>
                </c:pt>
                <c:pt idx="5">
                  <c:v>3.693622890805557E-2</c:v>
                </c:pt>
                <c:pt idx="6">
                  <c:v>4.7935646321962851E-2</c:v>
                </c:pt>
              </c:numCache>
            </c:numRef>
          </c:val>
          <c:extLst>
            <c:ext xmlns:c16="http://schemas.microsoft.com/office/drawing/2014/chart" uri="{C3380CC4-5D6E-409C-BE32-E72D297353CC}">
              <c16:uniqueId val="{00000000-D0D8-4241-9275-5FAF53F629E2}"/>
            </c:ext>
          </c:extLst>
        </c:ser>
        <c:ser>
          <c:idx val="1"/>
          <c:order val="1"/>
          <c:tx>
            <c:strRef>
              <c:f>Pivot_Table!$C$3</c:f>
              <c:strCache>
                <c:ptCount val="1"/>
                <c:pt idx="0">
                  <c:v>StdDev of Daily Return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Pivot_Table!$A$4:$A$11</c:f>
              <c:strCache>
                <c:ptCount val="7"/>
                <c:pt idx="0">
                  <c:v>AAPL</c:v>
                </c:pt>
                <c:pt idx="1">
                  <c:v>AMZN</c:v>
                </c:pt>
                <c:pt idx="2">
                  <c:v>GOOGL</c:v>
                </c:pt>
                <c:pt idx="3">
                  <c:v>META</c:v>
                </c:pt>
                <c:pt idx="4">
                  <c:v>MSFT</c:v>
                </c:pt>
                <c:pt idx="5">
                  <c:v>NVDA</c:v>
                </c:pt>
                <c:pt idx="6">
                  <c:v>TSLA</c:v>
                </c:pt>
              </c:strCache>
            </c:strRef>
          </c:cat>
          <c:val>
            <c:numRef>
              <c:f>Pivot_Table!$C$4:$C$11</c:f>
              <c:numCache>
                <c:formatCode>0.000</c:formatCode>
                <c:ptCount val="7"/>
                <c:pt idx="0">
                  <c:v>8.9320209041281642E-2</c:v>
                </c:pt>
                <c:pt idx="1">
                  <c:v>0.10319041894972103</c:v>
                </c:pt>
                <c:pt idx="2">
                  <c:v>8.0891600453931983E-2</c:v>
                </c:pt>
                <c:pt idx="3">
                  <c:v>0.10983534915476184</c:v>
                </c:pt>
                <c:pt idx="4">
                  <c:v>6.5297910325904304E-2</c:v>
                </c:pt>
                <c:pt idx="5">
                  <c:v>0.13750065086577129</c:v>
                </c:pt>
                <c:pt idx="6">
                  <c:v>0.18268104206805688</c:v>
                </c:pt>
              </c:numCache>
            </c:numRef>
          </c:val>
          <c:extLst>
            <c:ext xmlns:c16="http://schemas.microsoft.com/office/drawing/2014/chart" uri="{C3380CC4-5D6E-409C-BE32-E72D297353CC}">
              <c16:uniqueId val="{00000001-D0D8-4241-9275-5FAF53F629E2}"/>
            </c:ext>
          </c:extLst>
        </c:ser>
        <c:dLbls>
          <c:showLegendKey val="0"/>
          <c:showVal val="0"/>
          <c:showCatName val="0"/>
          <c:showSerName val="0"/>
          <c:showPercent val="0"/>
          <c:showBubbleSize val="0"/>
        </c:dLbls>
        <c:gapWidth val="315"/>
        <c:overlap val="-40"/>
        <c:axId val="1723709375"/>
        <c:axId val="1723708959"/>
      </c:barChart>
      <c:catAx>
        <c:axId val="17237093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3708959"/>
        <c:crosses val="autoZero"/>
        <c:auto val="1"/>
        <c:lblAlgn val="ctr"/>
        <c:lblOffset val="100"/>
        <c:noMultiLvlLbl val="0"/>
      </c:catAx>
      <c:valAx>
        <c:axId val="1723708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370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[Tech_Stock_Project.xlsx]Finance_Dahboard!PivotTable5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Finance_Dahboard!$B$3:$B$4</c:f>
              <c:strCache>
                <c:ptCount val="1"/>
                <c:pt idx="0">
                  <c:v>AAPL</c:v>
                </c:pt>
              </c:strCache>
            </c:strRef>
          </c:tx>
          <c:spPr>
            <a:ln w="28575" cap="rnd">
              <a:solidFill>
                <a:schemeClr val="accent1"/>
              </a:solidFill>
              <a:round/>
            </a:ln>
            <a:effectLst/>
          </c:spPr>
          <c:marker>
            <c:symbol val="none"/>
          </c:marker>
          <c:cat>
            <c:strRef>
              <c:f>Finance_Dahboard!$A$5:$A$25</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Finance_Dahboard!$B$5:$B$25</c:f>
              <c:numCache>
                <c:formatCode>0.000</c:formatCode>
                <c:ptCount val="20"/>
                <c:pt idx="0">
                  <c:v>1.719166666666667</c:v>
                </c:pt>
                <c:pt idx="1">
                  <c:v>2.5733333333333333</c:v>
                </c:pt>
                <c:pt idx="2">
                  <c:v>4.7625000000000002</c:v>
                </c:pt>
                <c:pt idx="3">
                  <c:v>4.9441666666666668</c:v>
                </c:pt>
                <c:pt idx="4">
                  <c:v>5.3716666666666661</c:v>
                </c:pt>
                <c:pt idx="5">
                  <c:v>9.2841666666666658</c:v>
                </c:pt>
                <c:pt idx="6">
                  <c:v>13.164166666666667</c:v>
                </c:pt>
                <c:pt idx="7">
                  <c:v>20.833333333333332</c:v>
                </c:pt>
                <c:pt idx="8">
                  <c:v>16.919166666666666</c:v>
                </c:pt>
                <c:pt idx="9">
                  <c:v>23.481666666666666</c:v>
                </c:pt>
                <c:pt idx="10">
                  <c:v>29.965833333333332</c:v>
                </c:pt>
                <c:pt idx="11">
                  <c:v>26.154166666666669</c:v>
                </c:pt>
                <c:pt idx="12">
                  <c:v>37.904166666666661</c:v>
                </c:pt>
                <c:pt idx="13">
                  <c:v>46.864999999999988</c:v>
                </c:pt>
                <c:pt idx="14">
                  <c:v>53.305</c:v>
                </c:pt>
                <c:pt idx="15">
                  <c:v>97.09416666666668</c:v>
                </c:pt>
                <c:pt idx="16">
                  <c:v>141.68833333333333</c:v>
                </c:pt>
                <c:pt idx="17">
                  <c:v>153.91249999999999</c:v>
                </c:pt>
                <c:pt idx="18">
                  <c:v>175.52333333333334</c:v>
                </c:pt>
                <c:pt idx="19">
                  <c:v>208.96416666666667</c:v>
                </c:pt>
              </c:numCache>
            </c:numRef>
          </c:val>
          <c:smooth val="0"/>
          <c:extLst>
            <c:ext xmlns:c16="http://schemas.microsoft.com/office/drawing/2014/chart" uri="{C3380CC4-5D6E-409C-BE32-E72D297353CC}">
              <c16:uniqueId val="{00000000-5CEF-4595-A3F5-2DC3C6BC6F6C}"/>
            </c:ext>
          </c:extLst>
        </c:ser>
        <c:ser>
          <c:idx val="1"/>
          <c:order val="1"/>
          <c:tx>
            <c:strRef>
              <c:f>Finance_Dahboard!$C$3:$C$4</c:f>
              <c:strCache>
                <c:ptCount val="1"/>
                <c:pt idx="0">
                  <c:v>AMZN</c:v>
                </c:pt>
              </c:strCache>
            </c:strRef>
          </c:tx>
          <c:spPr>
            <a:ln w="28575" cap="rnd">
              <a:solidFill>
                <a:schemeClr val="accent2"/>
              </a:solidFill>
              <a:round/>
            </a:ln>
            <a:effectLst/>
          </c:spPr>
          <c:marker>
            <c:symbol val="none"/>
          </c:marker>
          <c:cat>
            <c:strRef>
              <c:f>Finance_Dahboard!$A$5:$A$25</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Finance_Dahboard!$C$5:$C$25</c:f>
              <c:numCache>
                <c:formatCode>0.000</c:formatCode>
                <c:ptCount val="20"/>
                <c:pt idx="0">
                  <c:v>2.0091666666666668</c:v>
                </c:pt>
                <c:pt idx="1">
                  <c:v>1.8116666666666663</c:v>
                </c:pt>
                <c:pt idx="2">
                  <c:v>3.499166666666667</c:v>
                </c:pt>
                <c:pt idx="3">
                  <c:v>3.4491666666666672</c:v>
                </c:pt>
                <c:pt idx="4">
                  <c:v>4.5374999999999988</c:v>
                </c:pt>
                <c:pt idx="5">
                  <c:v>6.9649999999999999</c:v>
                </c:pt>
                <c:pt idx="6">
                  <c:v>9.8025000000000002</c:v>
                </c:pt>
                <c:pt idx="7">
                  <c:v>11.339166666666666</c:v>
                </c:pt>
                <c:pt idx="8">
                  <c:v>15.200000000000001</c:v>
                </c:pt>
                <c:pt idx="9">
                  <c:v>16.365000000000002</c:v>
                </c:pt>
                <c:pt idx="10">
                  <c:v>24.663333333333338</c:v>
                </c:pt>
                <c:pt idx="11">
                  <c:v>35.361666666666672</c:v>
                </c:pt>
                <c:pt idx="12">
                  <c:v>49.265833333333326</c:v>
                </c:pt>
                <c:pt idx="13">
                  <c:v>82.873333333333335</c:v>
                </c:pt>
                <c:pt idx="14">
                  <c:v>89.745000000000005</c:v>
                </c:pt>
                <c:pt idx="15">
                  <c:v>136.43</c:v>
                </c:pt>
                <c:pt idx="16">
                  <c:v>165.92083333333332</c:v>
                </c:pt>
                <c:pt idx="17">
                  <c:v>122.8775</c:v>
                </c:pt>
                <c:pt idx="18">
                  <c:v>123.91416666666665</c:v>
                </c:pt>
                <c:pt idx="19">
                  <c:v>185.21</c:v>
                </c:pt>
              </c:numCache>
            </c:numRef>
          </c:val>
          <c:smooth val="0"/>
          <c:extLst>
            <c:ext xmlns:c16="http://schemas.microsoft.com/office/drawing/2014/chart" uri="{C3380CC4-5D6E-409C-BE32-E72D297353CC}">
              <c16:uniqueId val="{00000001-5CEF-4595-A3F5-2DC3C6BC6F6C}"/>
            </c:ext>
          </c:extLst>
        </c:ser>
        <c:ser>
          <c:idx val="2"/>
          <c:order val="2"/>
          <c:tx>
            <c:strRef>
              <c:f>Finance_Dahboard!$D$3:$D$4</c:f>
              <c:strCache>
                <c:ptCount val="1"/>
                <c:pt idx="0">
                  <c:v>GOOGL</c:v>
                </c:pt>
              </c:strCache>
            </c:strRef>
          </c:tx>
          <c:spPr>
            <a:ln w="28575" cap="rnd">
              <a:solidFill>
                <a:schemeClr val="accent3"/>
              </a:solidFill>
              <a:round/>
            </a:ln>
            <a:effectLst/>
          </c:spPr>
          <c:marker>
            <c:symbol val="none"/>
          </c:marker>
          <c:cat>
            <c:strRef>
              <c:f>Finance_Dahboard!$A$5:$A$25</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Finance_Dahboard!$D$5:$D$25</c:f>
              <c:numCache>
                <c:formatCode>0.000</c:formatCode>
                <c:ptCount val="20"/>
                <c:pt idx="0">
                  <c:v>7.1691666666666665</c:v>
                </c:pt>
                <c:pt idx="1">
                  <c:v>10.389999999999999</c:v>
                </c:pt>
                <c:pt idx="2">
                  <c:v>13.732500000000003</c:v>
                </c:pt>
                <c:pt idx="3">
                  <c:v>11.384999999999998</c:v>
                </c:pt>
                <c:pt idx="4">
                  <c:v>11.259166666666665</c:v>
                </c:pt>
                <c:pt idx="5">
                  <c:v>13.145833333333334</c:v>
                </c:pt>
                <c:pt idx="6">
                  <c:v>14.342499999999999</c:v>
                </c:pt>
                <c:pt idx="7">
                  <c:v>16.191666666666666</c:v>
                </c:pt>
                <c:pt idx="8">
                  <c:v>22.41416666666667</c:v>
                </c:pt>
                <c:pt idx="9">
                  <c:v>28.524999999999995</c:v>
                </c:pt>
                <c:pt idx="10">
                  <c:v>31.296666666666667</c:v>
                </c:pt>
                <c:pt idx="11">
                  <c:v>38.187500000000007</c:v>
                </c:pt>
                <c:pt idx="12">
                  <c:v>47.297499999999992</c:v>
                </c:pt>
                <c:pt idx="13">
                  <c:v>56.176666666666669</c:v>
                </c:pt>
                <c:pt idx="14">
                  <c:v>59.790833333333332</c:v>
                </c:pt>
                <c:pt idx="15">
                  <c:v>74.327500000000001</c:v>
                </c:pt>
                <c:pt idx="16">
                  <c:v>125.09333333333335</c:v>
                </c:pt>
                <c:pt idx="17">
                  <c:v>112.515</c:v>
                </c:pt>
                <c:pt idx="18">
                  <c:v>119.88249999999999</c:v>
                </c:pt>
                <c:pt idx="19">
                  <c:v>164.75416666666669</c:v>
                </c:pt>
              </c:numCache>
            </c:numRef>
          </c:val>
          <c:smooth val="0"/>
          <c:extLst>
            <c:ext xmlns:c16="http://schemas.microsoft.com/office/drawing/2014/chart" uri="{C3380CC4-5D6E-409C-BE32-E72D297353CC}">
              <c16:uniqueId val="{00000002-5CEF-4595-A3F5-2DC3C6BC6F6C}"/>
            </c:ext>
          </c:extLst>
        </c:ser>
        <c:ser>
          <c:idx val="3"/>
          <c:order val="3"/>
          <c:tx>
            <c:strRef>
              <c:f>Finance_Dahboard!$E$3:$E$4</c:f>
              <c:strCache>
                <c:ptCount val="1"/>
                <c:pt idx="0">
                  <c:v>META</c:v>
                </c:pt>
              </c:strCache>
            </c:strRef>
          </c:tx>
          <c:spPr>
            <a:ln w="28575" cap="rnd">
              <a:solidFill>
                <a:schemeClr val="accent4"/>
              </a:solidFill>
              <a:round/>
            </a:ln>
            <a:effectLst/>
          </c:spPr>
          <c:marker>
            <c:symbol val="none"/>
          </c:marker>
          <c:cat>
            <c:strRef>
              <c:f>Finance_Dahboard!$A$5:$A$25</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Finance_Dahboard!$E$5:$E$25</c:f>
              <c:numCache>
                <c:formatCode>0.000</c:formatCode>
                <c:ptCount val="20"/>
                <c:pt idx="7">
                  <c:v>24.035714285714285</c:v>
                </c:pt>
                <c:pt idx="8">
                  <c:v>36.749999999999993</c:v>
                </c:pt>
                <c:pt idx="9">
                  <c:v>69.905000000000015</c:v>
                </c:pt>
                <c:pt idx="10">
                  <c:v>88.751666666666665</c:v>
                </c:pt>
                <c:pt idx="11">
                  <c:v>118.89083333333333</c:v>
                </c:pt>
                <c:pt idx="12">
                  <c:v>158.86583333333334</c:v>
                </c:pt>
                <c:pt idx="13">
                  <c:v>168.28</c:v>
                </c:pt>
                <c:pt idx="14">
                  <c:v>184.60166666666669</c:v>
                </c:pt>
                <c:pt idx="15">
                  <c:v>236.67166666666671</c:v>
                </c:pt>
                <c:pt idx="16">
                  <c:v>322.62083333333334</c:v>
                </c:pt>
                <c:pt idx="17">
                  <c:v>174.27666666666667</c:v>
                </c:pt>
                <c:pt idx="18">
                  <c:v>268.74583333333334</c:v>
                </c:pt>
                <c:pt idx="19">
                  <c:v>505.25499999999994</c:v>
                </c:pt>
              </c:numCache>
            </c:numRef>
          </c:val>
          <c:smooth val="0"/>
          <c:extLst>
            <c:ext xmlns:c16="http://schemas.microsoft.com/office/drawing/2014/chart" uri="{C3380CC4-5D6E-409C-BE32-E72D297353CC}">
              <c16:uniqueId val="{00000003-5CEF-4595-A3F5-2DC3C6BC6F6C}"/>
            </c:ext>
          </c:extLst>
        </c:ser>
        <c:ser>
          <c:idx val="4"/>
          <c:order val="4"/>
          <c:tx>
            <c:strRef>
              <c:f>Finance_Dahboard!$F$3:$F$4</c:f>
              <c:strCache>
                <c:ptCount val="1"/>
                <c:pt idx="0">
                  <c:v>MSFT</c:v>
                </c:pt>
              </c:strCache>
            </c:strRef>
          </c:tx>
          <c:spPr>
            <a:ln w="28575" cap="rnd">
              <a:solidFill>
                <a:schemeClr val="accent5"/>
              </a:solidFill>
              <a:round/>
            </a:ln>
            <a:effectLst/>
          </c:spPr>
          <c:marker>
            <c:symbol val="none"/>
          </c:marker>
          <c:cat>
            <c:strRef>
              <c:f>Finance_Dahboard!$A$5:$A$25</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Finance_Dahboard!$F$5:$F$25</c:f>
              <c:numCache>
                <c:formatCode>0.000</c:formatCode>
                <c:ptCount val="20"/>
                <c:pt idx="0">
                  <c:v>25.816666666666659</c:v>
                </c:pt>
                <c:pt idx="1">
                  <c:v>26.447500000000002</c:v>
                </c:pt>
                <c:pt idx="2">
                  <c:v>30.849166666666672</c:v>
                </c:pt>
                <c:pt idx="3">
                  <c:v>26.184999999999999</c:v>
                </c:pt>
                <c:pt idx="4">
                  <c:v>23.170833333333334</c:v>
                </c:pt>
                <c:pt idx="5">
                  <c:v>26.590000000000003</c:v>
                </c:pt>
                <c:pt idx="6">
                  <c:v>26.14083333333333</c:v>
                </c:pt>
                <c:pt idx="7">
                  <c:v>29.77</c:v>
                </c:pt>
                <c:pt idx="8">
                  <c:v>32.99</c:v>
                </c:pt>
                <c:pt idx="9">
                  <c:v>43.028333333333336</c:v>
                </c:pt>
                <c:pt idx="10">
                  <c:v>46.792499999999997</c:v>
                </c:pt>
                <c:pt idx="11">
                  <c:v>55.774999999999999</c:v>
                </c:pt>
                <c:pt idx="12">
                  <c:v>73.047499999999985</c:v>
                </c:pt>
                <c:pt idx="13">
                  <c:v>101.92250000000001</c:v>
                </c:pt>
                <c:pt idx="14">
                  <c:v>132.35416666666669</c:v>
                </c:pt>
                <c:pt idx="15">
                  <c:v>194.64583333333334</c:v>
                </c:pt>
                <c:pt idx="16">
                  <c:v>278.34250000000003</c:v>
                </c:pt>
                <c:pt idx="17">
                  <c:v>268.875</c:v>
                </c:pt>
                <c:pt idx="18">
                  <c:v>319.51749999999998</c:v>
                </c:pt>
                <c:pt idx="19">
                  <c:v>416.70416666666665</c:v>
                </c:pt>
              </c:numCache>
            </c:numRef>
          </c:val>
          <c:smooth val="0"/>
          <c:extLst>
            <c:ext xmlns:c16="http://schemas.microsoft.com/office/drawing/2014/chart" uri="{C3380CC4-5D6E-409C-BE32-E72D297353CC}">
              <c16:uniqueId val="{00000004-5CEF-4595-A3F5-2DC3C6BC6F6C}"/>
            </c:ext>
          </c:extLst>
        </c:ser>
        <c:ser>
          <c:idx val="5"/>
          <c:order val="5"/>
          <c:tx>
            <c:strRef>
              <c:f>Finance_Dahboard!$G$3:$G$4</c:f>
              <c:strCache>
                <c:ptCount val="1"/>
                <c:pt idx="0">
                  <c:v>NVDA</c:v>
                </c:pt>
              </c:strCache>
            </c:strRef>
          </c:tx>
          <c:spPr>
            <a:ln w="28575" cap="rnd">
              <a:solidFill>
                <a:schemeClr val="accent6"/>
              </a:solidFill>
              <a:round/>
            </a:ln>
            <a:effectLst/>
          </c:spPr>
          <c:marker>
            <c:symbol val="none"/>
          </c:marker>
          <c:cat>
            <c:strRef>
              <c:f>Finance_Dahboard!$A$5:$A$25</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Finance_Dahboard!$G$5:$G$25</c:f>
              <c:numCache>
                <c:formatCode>0.000</c:formatCode>
                <c:ptCount val="20"/>
                <c:pt idx="0">
                  <c:v>0.24333333333333332</c:v>
                </c:pt>
                <c:pt idx="1">
                  <c:v>0.46916666666666673</c:v>
                </c:pt>
                <c:pt idx="2">
                  <c:v>0.6974999999999999</c:v>
                </c:pt>
                <c:pt idx="3">
                  <c:v>0.39333333333333337</c:v>
                </c:pt>
                <c:pt idx="4">
                  <c:v>0.30416666666666664</c:v>
                </c:pt>
                <c:pt idx="5">
                  <c:v>0.33166666666666667</c:v>
                </c:pt>
                <c:pt idx="6">
                  <c:v>0.42749999999999994</c:v>
                </c:pt>
                <c:pt idx="7">
                  <c:v>0.33749999999999997</c:v>
                </c:pt>
                <c:pt idx="8">
                  <c:v>0.35749999999999998</c:v>
                </c:pt>
                <c:pt idx="9">
                  <c:v>0.46583333333333332</c:v>
                </c:pt>
                <c:pt idx="10">
                  <c:v>0.59583333333333344</c:v>
                </c:pt>
                <c:pt idx="11">
                  <c:v>1.4225000000000001</c:v>
                </c:pt>
                <c:pt idx="12">
                  <c:v>3.8016666666666672</c:v>
                </c:pt>
                <c:pt idx="13">
                  <c:v>5.7241666666666662</c:v>
                </c:pt>
                <c:pt idx="14">
                  <c:v>4.4216666666666669</c:v>
                </c:pt>
                <c:pt idx="15">
                  <c:v>10.120000000000001</c:v>
                </c:pt>
                <c:pt idx="16">
                  <c:v>20.130833333333332</c:v>
                </c:pt>
                <c:pt idx="17">
                  <c:v>18.247500000000002</c:v>
                </c:pt>
                <c:pt idx="18">
                  <c:v>37.922499999999992</c:v>
                </c:pt>
                <c:pt idx="19">
                  <c:v>109.47499999999998</c:v>
                </c:pt>
              </c:numCache>
            </c:numRef>
          </c:val>
          <c:smooth val="0"/>
          <c:extLst>
            <c:ext xmlns:c16="http://schemas.microsoft.com/office/drawing/2014/chart" uri="{C3380CC4-5D6E-409C-BE32-E72D297353CC}">
              <c16:uniqueId val="{00000005-5CEF-4595-A3F5-2DC3C6BC6F6C}"/>
            </c:ext>
          </c:extLst>
        </c:ser>
        <c:ser>
          <c:idx val="6"/>
          <c:order val="6"/>
          <c:tx>
            <c:strRef>
              <c:f>Finance_Dahboard!$H$3:$H$4</c:f>
              <c:strCache>
                <c:ptCount val="1"/>
                <c:pt idx="0">
                  <c:v>TSLA</c:v>
                </c:pt>
              </c:strCache>
            </c:strRef>
          </c:tx>
          <c:spPr>
            <a:ln w="28575" cap="rnd">
              <a:solidFill>
                <a:schemeClr val="accent1">
                  <a:lumMod val="60000"/>
                </a:schemeClr>
              </a:solidFill>
              <a:round/>
            </a:ln>
            <a:effectLst/>
          </c:spPr>
          <c:marker>
            <c:symbol val="none"/>
          </c:marker>
          <c:cat>
            <c:strRef>
              <c:f>Finance_Dahboard!$A$5:$A$25</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Finance_Dahboard!$H$5:$H$25</c:f>
              <c:numCache>
                <c:formatCode>0.000</c:formatCode>
                <c:ptCount val="20"/>
                <c:pt idx="5">
                  <c:v>1.5983333333333334</c:v>
                </c:pt>
                <c:pt idx="6">
                  <c:v>1.8366666666666667</c:v>
                </c:pt>
                <c:pt idx="7">
                  <c:v>2.0824999999999996</c:v>
                </c:pt>
                <c:pt idx="8">
                  <c:v>7.2433333333333323</c:v>
                </c:pt>
                <c:pt idx="9">
                  <c:v>15.192500000000003</c:v>
                </c:pt>
                <c:pt idx="10">
                  <c:v>15.452500000000001</c:v>
                </c:pt>
                <c:pt idx="11">
                  <c:v>14.115833333333335</c:v>
                </c:pt>
                <c:pt idx="12">
                  <c:v>20.939999999999998</c:v>
                </c:pt>
                <c:pt idx="13">
                  <c:v>20.945833333333336</c:v>
                </c:pt>
                <c:pt idx="14">
                  <c:v>18.474999999999998</c:v>
                </c:pt>
                <c:pt idx="15">
                  <c:v>105.07333333333334</c:v>
                </c:pt>
                <c:pt idx="16">
                  <c:v>268.48</c:v>
                </c:pt>
                <c:pt idx="17">
                  <c:v>259.37333333333328</c:v>
                </c:pt>
                <c:pt idx="18">
                  <c:v>223.46083333333334</c:v>
                </c:pt>
                <c:pt idx="19">
                  <c:v>235.90499999999997</c:v>
                </c:pt>
              </c:numCache>
            </c:numRef>
          </c:val>
          <c:smooth val="0"/>
          <c:extLst>
            <c:ext xmlns:c16="http://schemas.microsoft.com/office/drawing/2014/chart" uri="{C3380CC4-5D6E-409C-BE32-E72D297353CC}">
              <c16:uniqueId val="{00000006-5CEF-4595-A3F5-2DC3C6BC6F6C}"/>
            </c:ext>
          </c:extLst>
        </c:ser>
        <c:dLbls>
          <c:showLegendKey val="0"/>
          <c:showVal val="0"/>
          <c:showCatName val="0"/>
          <c:showSerName val="0"/>
          <c:showPercent val="0"/>
          <c:showBubbleSize val="0"/>
        </c:dLbls>
        <c:smooth val="0"/>
        <c:axId val="148841119"/>
        <c:axId val="148840703"/>
      </c:lineChart>
      <c:catAx>
        <c:axId val="14884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0703"/>
        <c:crosses val="autoZero"/>
        <c:auto val="1"/>
        <c:lblAlgn val="ctr"/>
        <c:lblOffset val="100"/>
        <c:noMultiLvlLbl val="0"/>
      </c:catAx>
      <c:valAx>
        <c:axId val="14884070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120650</xdr:colOff>
      <xdr:row>12</xdr:row>
      <xdr:rowOff>152400</xdr:rowOff>
    </xdr:from>
    <xdr:to>
      <xdr:col>8</xdr:col>
      <xdr:colOff>120650</xdr:colOff>
      <xdr:row>26</xdr:row>
      <xdr:rowOff>98425</xdr:rowOff>
    </xdr:to>
    <mc:AlternateContent xmlns:mc="http://schemas.openxmlformats.org/markup-compatibility/2006">
      <mc:Choice xmlns:a14="http://schemas.microsoft.com/office/drawing/2010/main" Requires="a14">
        <xdr:graphicFrame macro="">
          <xdr:nvGraphicFramePr>
            <xdr:cNvPr id="3" name="Source.Name">
              <a:extLst>
                <a:ext uri="{FF2B5EF4-FFF2-40B4-BE49-F238E27FC236}">
                  <a16:creationId xmlns:a16="http://schemas.microsoft.com/office/drawing/2014/main" id="{EDB8EF8F-B3DD-4D1F-8DF8-0482E0EC546D}"/>
                </a:ext>
              </a:extLst>
            </xdr:cNvPr>
            <xdr:cNvGraphicFramePr/>
          </xdr:nvGraphicFramePr>
          <xdr:xfrm>
            <a:off x="0" y="0"/>
            <a:ext cx="0" cy="0"/>
          </xdr:xfrm>
          <a:graphic>
            <a:graphicData uri="http://schemas.microsoft.com/office/drawing/2010/slicer">
              <sle:slicer xmlns:sle="http://schemas.microsoft.com/office/drawing/2010/slicer" name="Source.Name"/>
            </a:graphicData>
          </a:graphic>
        </xdr:graphicFrame>
      </mc:Choice>
      <mc:Fallback>
        <xdr:sp macro="" textlink="">
          <xdr:nvSpPr>
            <xdr:cNvPr id="0" name=""/>
            <xdr:cNvSpPr>
              <a:spLocks noTextEdit="1"/>
            </xdr:cNvSpPr>
          </xdr:nvSpPr>
          <xdr:spPr>
            <a:xfrm>
              <a:off x="5029200" y="2362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12</xdr:row>
      <xdr:rowOff>60325</xdr:rowOff>
    </xdr:from>
    <xdr:to>
      <xdr:col>4</xdr:col>
      <xdr:colOff>320675</xdr:colOff>
      <xdr:row>27</xdr:row>
      <xdr:rowOff>41275</xdr:rowOff>
    </xdr:to>
    <xdr:graphicFrame macro="">
      <xdr:nvGraphicFramePr>
        <xdr:cNvPr id="4" name="Chart 1">
          <a:extLst>
            <a:ext uri="{FF2B5EF4-FFF2-40B4-BE49-F238E27FC236}">
              <a16:creationId xmlns:a16="http://schemas.microsoft.com/office/drawing/2014/main" id="{A2B6DC2E-6F5E-4E45-9A9D-54696B26E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298450</xdr:colOff>
      <xdr:row>25</xdr:row>
      <xdr:rowOff>117475</xdr:rowOff>
    </xdr:from>
    <xdr:to>
      <xdr:col>6</xdr:col>
      <xdr:colOff>501650</xdr:colOff>
      <xdr:row>40</xdr:row>
      <xdr:rowOff>98425</xdr:rowOff>
    </xdr:to>
    <xdr:graphicFrame macro="">
      <xdr:nvGraphicFramePr>
        <xdr:cNvPr id="2" name="Chart 1">
          <a:extLst>
            <a:ext uri="{FF2B5EF4-FFF2-40B4-BE49-F238E27FC236}">
              <a16:creationId xmlns:a16="http://schemas.microsoft.com/office/drawing/2014/main" id="{5E5B9EFF-D1F1-4227-8898-6639201F0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361950</xdr:colOff>
      <xdr:row>1</xdr:row>
      <xdr:rowOff>0</xdr:rowOff>
    </xdr:from>
    <xdr:to>
      <xdr:col>7</xdr:col>
      <xdr:colOff>336550</xdr:colOff>
      <xdr:row>10</xdr:row>
      <xdr:rowOff>50800</xdr:rowOff>
    </xdr:to>
    <xdr:sp macro="" textlink="">
      <xdr:nvSpPr>
        <xdr:cNvPr id="2" name="TextBox 1">
          <a:extLst>
            <a:ext uri="{FF2B5EF4-FFF2-40B4-BE49-F238E27FC236}">
              <a16:creationId xmlns:a16="http://schemas.microsoft.com/office/drawing/2014/main" id="{3EE2877A-DD28-4720-BB3F-6662EAE59B09}"/>
            </a:ext>
          </a:extLst>
        </xdr:cNvPr>
        <xdr:cNvSpPr txBox="1"/>
      </xdr:nvSpPr>
      <xdr:spPr>
        <a:xfrm>
          <a:off x="361950" y="184150"/>
          <a:ext cx="4241800" cy="170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-TSLA shows the highest historical average daily return (0.0479) but also the highest volatility (Risk).</a:t>
          </a:r>
        </a:p>
        <a:p>
          <a:r>
            <a:rPr lang="en-US" sz="1100"/>
            <a:t>-NVDA exhibits strong risk-adjusted growth, particularly accelerating from 2023 onwards due to AI demand.</a:t>
          </a:r>
        </a:p>
        <a:p>
          <a:r>
            <a:rPr lang="en-US" sz="1100"/>
            <a:t>-Tech giants AAPL and MSFT show lower daily returns but significantly more stability (lower StdDev).</a:t>
          </a:r>
        </a:p>
        <a:p>
          <a:br>
            <a:rPr lang="en-US" sz="1100"/>
          </a:b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die Kairu" refreshedDate="46102.476883912037" createdVersion="7" refreshedVersion="7" minRefreshableVersion="3" recordCount="1525" xr:uid="{39514015-2812-4F33-8F0A-E785D64A158A}">
  <cacheSource type="worksheet">
    <worksheetSource name="Tech_Stock_Prjct"/>
  </cacheSource>
  <cacheFields count="11">
    <cacheField name="Source.Name" numFmtId="0">
      <sharedItems count="7">
        <s v="AAPL"/>
        <s v="AMZN"/>
        <s v="GOOGL"/>
        <s v="META"/>
        <s v="MSFT"/>
        <s v="NVDA"/>
        <s v="TSLA"/>
      </sharedItems>
    </cacheField>
    <cacheField name="Date" numFmtId="14">
      <sharedItems containsSemiMixedTypes="0" containsNonDate="0" containsDate="1" containsString="0" minDate="2005-01-01T00:00:00" maxDate="2024-12-02T00:00:00" count="24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10" base="1">
        <rangePr groupBy="months" startDate="2005-01-01T00:00:00" endDate="2024-12-02T00:00:00"/>
        <groupItems count="14">
          <s v="&lt;1/1/2005"/>
          <s v="Jan"/>
          <s v="Feb"/>
          <s v="Mar"/>
          <s v="Apr"/>
          <s v="May"/>
          <s v="Jun"/>
          <s v="Jul"/>
          <s v="Aug"/>
          <s v="Sep"/>
          <s v="Oct"/>
          <s v="Nov"/>
          <s v="Dec"/>
          <s v="&gt;12/2/2024"/>
        </groupItems>
      </fieldGroup>
    </cacheField>
    <cacheField name="Price" numFmtId="0">
      <sharedItems containsSemiMixedTypes="0" containsString="0" containsNumber="1" minValue="0.18" maxValue="585.51"/>
    </cacheField>
    <cacheField name="Open" numFmtId="0">
      <sharedItems containsSemiMixedTypes="0" containsString="0" containsNumber="1" minValue="0.18" maxValue="577.98"/>
    </cacheField>
    <cacheField name="High" numFmtId="0">
      <sharedItems containsSemiMixedTypes="0" containsString="0" containsNumber="1" minValue="0.2" maxValue="638.4"/>
    </cacheField>
    <cacheField name="Low" numFmtId="0">
      <sharedItems containsSemiMixedTypes="0" containsString="0" containsNumber="1" minValue="0.14000000000000001" maxValue="575.57000000000005"/>
    </cacheField>
    <cacheField name="Vol." numFmtId="0">
      <sharedItems/>
    </cacheField>
    <cacheField name="Change %" numFmtId="0">
      <sharedItems containsSemiMixedTypes="0" containsString="0" containsNumber="1" minValue="-0.38300000000000001" maxValue="0.81110000000000004"/>
    </cacheField>
    <cacheField name="Daily Return" numFmtId="168">
      <sharedItems containsSemiMixedTypes="0" containsString="0" containsNumber="1" minValue="-0.38297872340425532" maxValue="0.81111111111111089"/>
    </cacheField>
    <cacheField name="Quarters" numFmtId="0" databaseField="0">
      <fieldGroup base="1">
        <rangePr groupBy="quarters" startDate="2005-01-01T00:00:00" endDate="2024-12-02T00:00:00"/>
        <groupItems count="6">
          <s v="&lt;1/1/2005"/>
          <s v="Qtr1"/>
          <s v="Qtr2"/>
          <s v="Qtr3"/>
          <s v="Qtr4"/>
          <s v="&gt;12/2/2024"/>
        </groupItems>
      </fieldGroup>
    </cacheField>
    <cacheField name="Years" numFmtId="0" databaseField="0">
      <fieldGroup base="1">
        <rangePr groupBy="years" startDate="2005-01-01T00:00:00" endDate="2024-12-02T00:00:00"/>
        <groupItems count="22">
          <s v="&lt;1/1/2005"/>
          <s v="2005"/>
          <s v="2006"/>
          <s v="2007"/>
          <s v="2008"/>
          <s v="2009"/>
          <s v="2010"/>
          <s v="2011"/>
          <s v="2012"/>
          <s v="2013"/>
          <s v="2014"/>
          <s v="2015"/>
          <s v="2016"/>
          <s v="2017"/>
          <s v="2018"/>
          <s v="2019"/>
          <s v="2020"/>
          <s v="2021"/>
          <s v="2022"/>
          <s v="2023"/>
          <s v="2024"/>
          <s v="&gt;12/2/2024"/>
        </groupItems>
      </fieldGroup>
    </cacheField>
  </cacheFields>
  <extLst>
    <ext xmlns:x14="http://schemas.microsoft.com/office/spreadsheetml/2009/9/main" uri="{725AE2AE-9491-48be-B2B4-4EB974FC3084}">
      <x14:pivotCacheDefinition pivotCacheId="1030359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5">
  <r>
    <x v="0"/>
    <x v="0"/>
    <n v="1.37"/>
    <n v="1.1599999999999999"/>
    <n v="1.39"/>
    <n v="1.1200000000000001"/>
    <s v="25.87B"/>
    <n v="0.1913"/>
    <n v="0.16788321167883208"/>
  </r>
  <r>
    <x v="0"/>
    <x v="1"/>
    <n v="1.6"/>
    <n v="1.38"/>
    <n v="1.62"/>
    <n v="1.37"/>
    <s v="21.49B"/>
    <n v="0.16789999999999999"/>
    <n v="-6.8750000000000061E-2"/>
  </r>
  <r>
    <x v="0"/>
    <x v="2"/>
    <n v="1.49"/>
    <n v="1.61"/>
    <n v="1.61"/>
    <n v="1.39"/>
    <s v="14.73B"/>
    <n v="-6.88E-2"/>
    <n v="-0.13422818791946306"/>
  </r>
  <r>
    <x v="0"/>
    <x v="3"/>
    <n v="1.29"/>
    <n v="1.5"/>
    <n v="1.59"/>
    <n v="1.21"/>
    <s v="19.48B"/>
    <n v="-0.13420000000000001"/>
    <n v="0.10077519379844953"/>
  </r>
  <r>
    <x v="0"/>
    <x v="4"/>
    <n v="1.42"/>
    <n v="1.29"/>
    <n v="1.46"/>
    <n v="1.18"/>
    <s v="12.92B"/>
    <n v="0.1008"/>
    <n v="-7.7464788732394277E-2"/>
  </r>
  <r>
    <x v="0"/>
    <x v="5"/>
    <n v="1.31"/>
    <n v="1.42"/>
    <n v="1.46"/>
    <n v="1.27"/>
    <s v="11.43B"/>
    <n v="-7.7499999999999999E-2"/>
    <n v="0.16030534351145034"/>
  </r>
  <r>
    <x v="0"/>
    <x v="6"/>
    <n v="1.52"/>
    <n v="1.32"/>
    <n v="1.58"/>
    <n v="1.3"/>
    <s v="10.23B"/>
    <n v="0.1603"/>
    <n v="9.8684210526315735E-2"/>
  </r>
  <r>
    <x v="0"/>
    <x v="7"/>
    <n v="1.67"/>
    <n v="1.52"/>
    <n v="1.73"/>
    <n v="1.5"/>
    <s v="9.46B"/>
    <n v="9.8699999999999996E-2"/>
    <n v="0.1437125748502994"/>
  </r>
  <r>
    <x v="0"/>
    <x v="8"/>
    <n v="1.91"/>
    <n v="1.68"/>
    <n v="1.95"/>
    <n v="1.65"/>
    <s v="12.36B"/>
    <n v="0.14369999999999999"/>
    <n v="7.8534031413612634E-2"/>
  </r>
  <r>
    <x v="0"/>
    <x v="9"/>
    <n v="2.06"/>
    <n v="1.93"/>
    <n v="2.0699999999999998"/>
    <n v="1.71"/>
    <s v="18.69B"/>
    <n v="7.85E-2"/>
    <n v="0.17475728155339798"/>
  </r>
  <r>
    <x v="0"/>
    <x v="10"/>
    <n v="2.42"/>
    <n v="2.04"/>
    <n v="2.54"/>
    <n v="2.0299999999999998"/>
    <s v="13.47B"/>
    <n v="0.17480000000000001"/>
    <n v="6.1983471074380132E-2"/>
  </r>
  <r>
    <x v="0"/>
    <x v="11"/>
    <n v="2.57"/>
    <n v="2.46"/>
    <n v="2.69"/>
    <n v="2.46"/>
    <s v="13.07B"/>
    <n v="6.2E-2"/>
    <n v="5.0583657587548771E-2"/>
  </r>
  <r>
    <x v="0"/>
    <x v="12"/>
    <n v="2.7"/>
    <n v="2.58"/>
    <n v="3.09"/>
    <n v="2.5299999999999998"/>
    <s v="21.90B"/>
    <n v="5.0599999999999999E-2"/>
    <n v="-9.2592592592592587E-2"/>
  </r>
  <r>
    <x v="0"/>
    <x v="13"/>
    <n v="2.4500000000000002"/>
    <n v="2.68"/>
    <n v="2.73"/>
    <n v="2.25"/>
    <s v="18.77B"/>
    <n v="-9.2600000000000002E-2"/>
    <n v="-8.5714285714285687E-2"/>
  </r>
  <r>
    <x v="0"/>
    <x v="14"/>
    <n v="2.2400000000000002"/>
    <n v="2.46"/>
    <n v="2.5"/>
    <n v="2.06"/>
    <s v="23.20B"/>
    <n v="-8.5699999999999998E-2"/>
    <n v="0.12053571428571408"/>
  </r>
  <r>
    <x v="0"/>
    <x v="15"/>
    <n v="2.5099999999999998"/>
    <n v="2.27"/>
    <n v="2.57"/>
    <n v="2.1800000000000002"/>
    <s v="20.13B"/>
    <n v="0.1205"/>
    <n v="-0.15139442231075695"/>
  </r>
  <r>
    <x v="0"/>
    <x v="16"/>
    <n v="2.13"/>
    <n v="2.5299999999999998"/>
    <n v="2.64"/>
    <n v="2.1"/>
    <s v="15.62B"/>
    <n v="-0.15140000000000001"/>
    <n v="-3.7558685446009425E-2"/>
  </r>
  <r>
    <x v="0"/>
    <x v="17"/>
    <n v="2.0499999999999998"/>
    <n v="2.14"/>
    <n v="2.25"/>
    <n v="1.98"/>
    <s v="17.96B"/>
    <n v="-3.7600000000000001E-2"/>
    <n v="0.18536585365853678"/>
  </r>
  <r>
    <x v="0"/>
    <x v="18"/>
    <n v="2.4300000000000002"/>
    <n v="2.0499999999999998"/>
    <n v="2.4500000000000002"/>
    <n v="1.79"/>
    <s v="17.50B"/>
    <n v="0.18540000000000001"/>
    <n v="-4.1152263374486546E-3"/>
  </r>
  <r>
    <x v="0"/>
    <x v="19"/>
    <n v="2.42"/>
    <n v="2.4"/>
    <n v="2.5"/>
    <n v="2.23"/>
    <s v="17.90B"/>
    <n v="-4.1000000000000003E-3"/>
    <n v="0.13636363636363641"/>
  </r>
  <r>
    <x v="0"/>
    <x v="20"/>
    <n v="2.75"/>
    <n v="2.4500000000000002"/>
    <n v="2.78"/>
    <n v="2.42"/>
    <s v="17.74B"/>
    <n v="0.13639999999999999"/>
    <n v="5.4545454545454515E-2"/>
  </r>
  <r>
    <x v="0"/>
    <x v="21"/>
    <n v="2.9"/>
    <n v="2.68"/>
    <n v="2.95"/>
    <n v="2.59"/>
    <s v="14.42B"/>
    <n v="5.45E-2"/>
    <n v="0.12758620689655176"/>
  </r>
  <r>
    <x v="0"/>
    <x v="22"/>
    <n v="3.27"/>
    <n v="2.9"/>
    <n v="3.33"/>
    <n v="2.78"/>
    <s v="13.85B"/>
    <n v="0.12759999999999999"/>
    <n v="-7.3394495412844096E-2"/>
  </r>
  <r>
    <x v="0"/>
    <x v="23"/>
    <n v="3.03"/>
    <n v="3.28"/>
    <n v="3.3"/>
    <n v="2.74"/>
    <s v="16.94B"/>
    <n v="-7.3400000000000007E-2"/>
    <n v="9.9009900990099844E-3"/>
  </r>
  <r>
    <x v="0"/>
    <x v="24"/>
    <n v="3.06"/>
    <n v="3.08"/>
    <n v="3.49"/>
    <n v="2.92"/>
    <s v="27.28B"/>
    <n v="9.9000000000000008E-3"/>
    <n v="-1.3071895424836612E-2"/>
  </r>
  <r>
    <x v="0"/>
    <x v="25"/>
    <n v="3.02"/>
    <n v="3.08"/>
    <n v="3.24"/>
    <n v="2.96"/>
    <s v="13.75B"/>
    <n v="-1.3100000000000001E-2"/>
    <n v="9.9337748344370799E-2"/>
  </r>
  <r>
    <x v="0"/>
    <x v="26"/>
    <n v="3.32"/>
    <n v="3"/>
    <n v="3.46"/>
    <n v="2.99"/>
    <s v="15.94B"/>
    <n v="9.9299999999999999E-2"/>
    <n v="7.228915662650609E-2"/>
  </r>
  <r>
    <x v="0"/>
    <x v="27"/>
    <n v="3.56"/>
    <n v="3.36"/>
    <n v="3.66"/>
    <n v="3.2"/>
    <s v="13.52B"/>
    <n v="7.2300000000000003E-2"/>
    <n v="0.21629213483146068"/>
  </r>
  <r>
    <x v="0"/>
    <x v="28"/>
    <n v="4.33"/>
    <n v="3.56"/>
    <n v="4.3600000000000003"/>
    <n v="3.52"/>
    <s v="17.39B"/>
    <n v="0.21629999999999999"/>
    <n v="6.9284064665127596E-3"/>
  </r>
  <r>
    <x v="0"/>
    <x v="29"/>
    <n v="4.3600000000000003"/>
    <n v="4.32"/>
    <n v="4.5599999999999996"/>
    <n v="4.12"/>
    <s v="23.32B"/>
    <n v="6.8999999999999999E-3"/>
    <n v="8.0275229357798072E-2"/>
  </r>
  <r>
    <x v="0"/>
    <x v="30"/>
    <n v="4.71"/>
    <n v="4.32"/>
    <n v="5.32"/>
    <n v="4.26"/>
    <s v="24.18B"/>
    <n v="8.0299999999999996E-2"/>
    <n v="5.0955414012738898E-2"/>
  </r>
  <r>
    <x v="0"/>
    <x v="31"/>
    <n v="4.95"/>
    <n v="4.7699999999999996"/>
    <n v="4.99"/>
    <n v="3.99"/>
    <s v="24.37B"/>
    <n v="5.0999999999999997E-2"/>
    <n v="0.10707070707070712"/>
  </r>
  <r>
    <x v="0"/>
    <x v="32"/>
    <n v="5.48"/>
    <n v="5"/>
    <n v="5.54"/>
    <n v="4.6399999999999997"/>
    <s v="20.93B"/>
    <n v="0.1071"/>
    <n v="0.23722627737226273"/>
  </r>
  <r>
    <x v="0"/>
    <x v="33"/>
    <n v="6.78"/>
    <n v="5.52"/>
    <n v="6.79"/>
    <n v="5.46"/>
    <s v="23.28B"/>
    <n v="0.23719999999999999"/>
    <n v="-3.9823008849557591E-2"/>
  </r>
  <r>
    <x v="0"/>
    <x v="34"/>
    <n v="6.51"/>
    <n v="6.74"/>
    <n v="6.88"/>
    <n v="5.38"/>
    <s v="26.20B"/>
    <n v="-3.9800000000000002E-2"/>
    <n v="8.6021505376344162E-2"/>
  </r>
  <r>
    <x v="0"/>
    <x v="35"/>
    <n v="7.07"/>
    <n v="6.49"/>
    <n v="7.25"/>
    <n v="6.32"/>
    <s v="17.26B"/>
    <n v="8.5999999999999993E-2"/>
    <n v="-0.31683168316831684"/>
  </r>
  <r>
    <x v="0"/>
    <x v="36"/>
    <n v="4.83"/>
    <n v="7.12"/>
    <n v="7.15"/>
    <n v="4.5"/>
    <s v="35.19B"/>
    <n v="-0.31680000000000003"/>
    <n v="-7.6604554865424446E-2"/>
  </r>
  <r>
    <x v="0"/>
    <x v="37"/>
    <n v="4.46"/>
    <n v="4.87"/>
    <n v="4.88"/>
    <n v="4.12"/>
    <s v="24.87B"/>
    <n v="-7.6600000000000001E-2"/>
    <n v="0.1479820627802691"/>
  </r>
  <r>
    <x v="0"/>
    <x v="38"/>
    <n v="5.12"/>
    <n v="4.4400000000000004"/>
    <n v="5.2"/>
    <n v="4.21"/>
    <s v="22.93B"/>
    <n v="0.14799999999999999"/>
    <n v="0.21289062499999997"/>
  </r>
  <r>
    <x v="0"/>
    <x v="39"/>
    <n v="6.21"/>
    <n v="5.22"/>
    <n v="6.43"/>
    <n v="5.13"/>
    <s v="22.79B"/>
    <n v="0.21290000000000001"/>
    <n v="8.5346215780998436E-2"/>
  </r>
  <r>
    <x v="0"/>
    <x v="40"/>
    <n v="6.74"/>
    <n v="6.25"/>
    <n v="6.87"/>
    <n v="6.14"/>
    <s v="18.59B"/>
    <n v="8.5300000000000001E-2"/>
    <n v="-0.11275964391691391"/>
  </r>
  <r>
    <x v="0"/>
    <x v="41"/>
    <n v="5.98"/>
    <n v="6.74"/>
    <n v="6.78"/>
    <n v="5.86"/>
    <s v="19.48B"/>
    <n v="-0.1128"/>
    <n v="-5.0167224080267671E-2"/>
  </r>
  <r>
    <x v="0"/>
    <x v="42"/>
    <n v="5.68"/>
    <n v="5.87"/>
    <n v="6.46"/>
    <n v="5.23"/>
    <s v="19.75B"/>
    <n v="-5.0200000000000002E-2"/>
    <n v="6.5140845070422559E-2"/>
  </r>
  <r>
    <x v="0"/>
    <x v="43"/>
    <n v="6.05"/>
    <n v="5.71"/>
    <n v="6.44"/>
    <n v="5.46"/>
    <s v="13.09B"/>
    <n v="6.5100000000000005E-2"/>
    <n v="-0.3289256198347108"/>
  </r>
  <r>
    <x v="0"/>
    <x v="44"/>
    <n v="4.0599999999999996"/>
    <n v="6.16"/>
    <n v="6.2"/>
    <n v="3.59"/>
    <s v="24.07B"/>
    <n v="-0.32890000000000003"/>
    <n v="-5.4187192118226542E-2"/>
  </r>
  <r>
    <x v="0"/>
    <x v="45"/>
    <n v="3.84"/>
    <n v="4"/>
    <n v="4.16"/>
    <n v="3.04"/>
    <s v="41.45B"/>
    <n v="-5.4199999999999998E-2"/>
    <n v="-0.13802083333333329"/>
  </r>
  <r>
    <x v="0"/>
    <x v="46"/>
    <n v="3.31"/>
    <n v="3.78"/>
    <n v="3.99"/>
    <n v="2.83"/>
    <s v="23.63B"/>
    <n v="-0.13800000000000001"/>
    <n v="-7.8549848942598255E-2"/>
  </r>
  <r>
    <x v="0"/>
    <x v="47"/>
    <n v="3.05"/>
    <n v="3.26"/>
    <n v="3.7"/>
    <n v="3.02"/>
    <s v="20.29B"/>
    <n v="-7.85E-2"/>
    <n v="5.5737704918032913E-2"/>
  </r>
  <r>
    <x v="0"/>
    <x v="48"/>
    <n v="3.22"/>
    <n v="3.07"/>
    <n v="3.47"/>
    <n v="2.79"/>
    <s v="18.23B"/>
    <n v="5.57E-2"/>
    <n v="-9.3167701863354803E-3"/>
  </r>
  <r>
    <x v="0"/>
    <x v="49"/>
    <n v="3.19"/>
    <n v="3.18"/>
    <n v="3.68"/>
    <n v="3.09"/>
    <s v="13.87B"/>
    <n v="-9.2999999999999992E-3"/>
    <n v="0.17554858934169282"/>
  </r>
  <r>
    <x v="0"/>
    <x v="50"/>
    <n v="3.75"/>
    <n v="3.15"/>
    <n v="3.93"/>
    <n v="2.94"/>
    <s v="15.43B"/>
    <n v="0.17549999999999999"/>
    <n v="0.19733333333333339"/>
  </r>
  <r>
    <x v="0"/>
    <x v="51"/>
    <n v="4.49"/>
    <n v="3.72"/>
    <n v="4.54"/>
    <n v="3.71"/>
    <s v="11.82B"/>
    <n v="0.1973"/>
    <n v="8.0178173719376258E-2"/>
  </r>
  <r>
    <x v="0"/>
    <x v="52"/>
    <n v="4.8499999999999996"/>
    <n v="4.49"/>
    <n v="4.8499999999999996"/>
    <n v="4.26"/>
    <s v="9.46B"/>
    <n v="8.0199999999999994E-2"/>
    <n v="4.9484536082474273E-2"/>
  </r>
  <r>
    <x v="0"/>
    <x v="53"/>
    <n v="5.09"/>
    <n v="4.87"/>
    <n v="5.23"/>
    <n v="4.75"/>
    <s v="12.68B"/>
    <n v="4.9500000000000002E-2"/>
    <n v="0.14734774066797643"/>
  </r>
  <r>
    <x v="0"/>
    <x v="54"/>
    <n v="5.84"/>
    <n v="5.12"/>
    <n v="5.89"/>
    <n v="4.8"/>
    <s v="10.94B"/>
    <n v="0.14729999999999999"/>
    <n v="2.9109589041095878E-2"/>
  </r>
  <r>
    <x v="0"/>
    <x v="55"/>
    <n v="6.01"/>
    <n v="5.9"/>
    <n v="6.16"/>
    <n v="5.69"/>
    <s v="8.17B"/>
    <n v="2.9100000000000001E-2"/>
    <n v="0.10149750415973384"/>
  </r>
  <r>
    <x v="0"/>
    <x v="56"/>
    <n v="6.62"/>
    <n v="6"/>
    <n v="6.75"/>
    <n v="5.86"/>
    <s v="9.99B"/>
    <n v="0.10150000000000001"/>
    <n v="1.6616314199395819E-2"/>
  </r>
  <r>
    <x v="0"/>
    <x v="57"/>
    <n v="6.73"/>
    <n v="6.62"/>
    <n v="7.45"/>
    <n v="6.45"/>
    <s v="12.96B"/>
    <n v="1.66E-2"/>
    <n v="6.0921248142644761E-2"/>
  </r>
  <r>
    <x v="0"/>
    <x v="58"/>
    <n v="7.14"/>
    <n v="6.78"/>
    <n v="7.43"/>
    <n v="6.63"/>
    <s v="8.46B"/>
    <n v="6.0900000000000003E-2"/>
    <n v="5.4621848739495882E-2"/>
  </r>
  <r>
    <x v="0"/>
    <x v="59"/>
    <n v="7.53"/>
    <n v="7.22"/>
    <n v="7.64"/>
    <n v="6.74"/>
    <s v="11.40B"/>
    <n v="5.4600000000000003E-2"/>
    <n v="-8.8977423638778211E-2"/>
  </r>
  <r>
    <x v="0"/>
    <x v="60"/>
    <n v="6.86"/>
    <n v="7.62"/>
    <n v="7.7"/>
    <n v="6.79"/>
    <s v="15.17B"/>
    <n v="-8.8999999999999996E-2"/>
    <n v="6.5597667638483861E-2"/>
  </r>
  <r>
    <x v="0"/>
    <x v="61"/>
    <n v="7.31"/>
    <n v="6.87"/>
    <n v="7.33"/>
    <n v="6.82"/>
    <s v="10.78B"/>
    <n v="6.5600000000000006E-2"/>
    <n v="0.14774281805745568"/>
  </r>
  <r>
    <x v="0"/>
    <x v="62"/>
    <n v="8.39"/>
    <n v="7.35"/>
    <n v="8.48"/>
    <n v="7.34"/>
    <s v="12.16B"/>
    <n v="0.1477"/>
    <n v="0.11084624553039328"/>
  </r>
  <r>
    <x v="0"/>
    <x v="63"/>
    <n v="9.32"/>
    <n v="8.48"/>
    <n v="9.73"/>
    <n v="8.31"/>
    <s v="12.37B"/>
    <n v="0.1108"/>
    <n v="-1.6094420600858406E-2"/>
  </r>
  <r>
    <x v="0"/>
    <x v="64"/>
    <n v="9.17"/>
    <n v="9.42"/>
    <n v="9.57"/>
    <n v="7.12"/>
    <s v="18.08B"/>
    <n v="-1.61E-2"/>
    <n v="-2.071973827699013E-2"/>
  </r>
  <r>
    <x v="0"/>
    <x v="65"/>
    <n v="8.98"/>
    <n v="9.27"/>
    <n v="9.9600000000000009"/>
    <n v="8.65"/>
    <s v="16.65B"/>
    <n v="-2.07E-2"/>
    <n v="2.3385300668151345E-2"/>
  </r>
  <r>
    <x v="0"/>
    <x v="66"/>
    <n v="9.19"/>
    <n v="9.08"/>
    <n v="9.5"/>
    <n v="8.56"/>
    <s v="15.67B"/>
    <n v="2.3400000000000001E-2"/>
    <n v="-5.5495103373231755E-2"/>
  </r>
  <r>
    <x v="0"/>
    <x v="67"/>
    <n v="8.68"/>
    <n v="9.3000000000000007"/>
    <n v="9.44"/>
    <n v="8.41"/>
    <s v="9.59B"/>
    <n v="-5.5500000000000001E-2"/>
    <n v="0.16705069124423977"/>
  </r>
  <r>
    <x v="0"/>
    <x v="68"/>
    <n v="10.130000000000001"/>
    <n v="8.84"/>
    <n v="10.53"/>
    <n v="8.8000000000000007"/>
    <s v="11.85B"/>
    <n v="0.1671"/>
    <n v="6.1204343534057175E-2"/>
  </r>
  <r>
    <x v="0"/>
    <x v="69"/>
    <n v="10.75"/>
    <n v="10.220000000000001"/>
    <n v="11.39"/>
    <n v="9.92"/>
    <s v="12.25B"/>
    <n v="6.1199999999999997E-2"/>
    <n v="3.3488372093023203E-2"/>
  </r>
  <r>
    <x v="0"/>
    <x v="70"/>
    <n v="11.11"/>
    <n v="10.79"/>
    <n v="11.47"/>
    <n v="10.63"/>
    <s v="9.51B"/>
    <n v="3.3500000000000002E-2"/>
    <n v="3.6903690369036915E-2"/>
  </r>
  <r>
    <x v="0"/>
    <x v="71"/>
    <n v="11.52"/>
    <n v="11.26"/>
    <n v="11.67"/>
    <n v="11.25"/>
    <s v="6.98B"/>
    <n v="3.6900000000000002E-2"/>
    <n v="5.2083333333333301E-2"/>
  </r>
  <r>
    <x v="0"/>
    <x v="72"/>
    <n v="12.12"/>
    <n v="11.63"/>
    <n v="12.45"/>
    <n v="11.6"/>
    <s v="10.84B"/>
    <n v="5.21E-2"/>
    <n v="4.0429042904290446E-2"/>
  </r>
  <r>
    <x v="0"/>
    <x v="73"/>
    <n v="12.61"/>
    <n v="12.19"/>
    <n v="13.03"/>
    <n v="12.06"/>
    <s v="9.30B"/>
    <n v="4.0399999999999998E-2"/>
    <n v="-1.2688342585249814E-2"/>
  </r>
  <r>
    <x v="0"/>
    <x v="74"/>
    <n v="12.45"/>
    <n v="12.7"/>
    <n v="12.92"/>
    <n v="11.65"/>
    <s v="11.30B"/>
    <n v="-1.2699999999999999E-2"/>
    <n v="4.0160642570281693E-3"/>
  </r>
  <r>
    <x v="0"/>
    <x v="75"/>
    <n v="12.5"/>
    <n v="12.54"/>
    <n v="12.68"/>
    <n v="11.43"/>
    <s v="9.25B"/>
    <n v="4.0000000000000001E-3"/>
    <n v="-6.4000000000000055E-3"/>
  </r>
  <r>
    <x v="0"/>
    <x v="76"/>
    <n v="12.42"/>
    <n v="12.49"/>
    <n v="12.57"/>
    <n v="11.76"/>
    <s v="6.91B"/>
    <n v="-6.4000000000000003E-3"/>
    <n v="-3.462157809983895E-2"/>
  </r>
  <r>
    <x v="0"/>
    <x v="77"/>
    <n v="11.99"/>
    <n v="12.46"/>
    <n v="12.58"/>
    <n v="11.09"/>
    <s v="9.27B"/>
    <n v="-3.4599999999999999E-2"/>
    <n v="0.16346955796497073"/>
  </r>
  <r>
    <x v="0"/>
    <x v="78"/>
    <n v="13.95"/>
    <n v="12"/>
    <n v="14.45"/>
    <n v="11.94"/>
    <s v="10.65B"/>
    <n v="0.16350000000000001"/>
    <n v="-1.505376344086015E-2"/>
  </r>
  <r>
    <x v="0"/>
    <x v="79"/>
    <n v="13.74"/>
    <n v="14.21"/>
    <n v="14.27"/>
    <n v="12.61"/>
    <s v="16.14B"/>
    <n v="-1.5100000000000001E-2"/>
    <n v="-8.733624454148544E-3"/>
  </r>
  <r>
    <x v="0"/>
    <x v="80"/>
    <n v="13.62"/>
    <n v="13.78"/>
    <n v="15.1"/>
    <n v="13.09"/>
    <s v="11.98B"/>
    <n v="-8.6999999999999994E-3"/>
    <n v="6.1674008810572813E-2"/>
  </r>
  <r>
    <x v="0"/>
    <x v="81"/>
    <n v="14.46"/>
    <n v="13.58"/>
    <n v="15.24"/>
    <n v="12.65"/>
    <s v="13.14B"/>
    <n v="6.1699999999999998E-2"/>
    <n v="-5.6016597510373474E-2"/>
  </r>
  <r>
    <x v="0"/>
    <x v="82"/>
    <n v="13.65"/>
    <n v="14.19"/>
    <n v="14.57"/>
    <n v="12.98"/>
    <s v="8.97B"/>
    <n v="-5.6000000000000001E-2"/>
    <n v="5.9340659340659373E-2"/>
  </r>
  <r>
    <x v="0"/>
    <x v="83"/>
    <n v="14.46"/>
    <n v="13.66"/>
    <n v="14.61"/>
    <n v="13.49"/>
    <s v="6.31B"/>
    <n v="5.9299999999999999E-2"/>
    <n v="0.1272475795297372"/>
  </r>
  <r>
    <x v="0"/>
    <x v="84"/>
    <n v="16.3"/>
    <n v="14.62"/>
    <n v="16.37"/>
    <n v="14.61"/>
    <s v="6.86B"/>
    <n v="0.12720000000000001"/>
    <n v="0.18834355828220861"/>
  </r>
  <r>
    <x v="0"/>
    <x v="85"/>
    <n v="19.37"/>
    <n v="16.37"/>
    <n v="19.559999999999999"/>
    <n v="16.21"/>
    <s v="11.37B"/>
    <n v="0.1883"/>
    <n v="0.1053175012906556"/>
  </r>
  <r>
    <x v="0"/>
    <x v="86"/>
    <n v="21.41"/>
    <n v="19.579999999999998"/>
    <n v="22.19"/>
    <n v="18.440000000000001"/>
    <s v="15.58B"/>
    <n v="0.1053"/>
    <n v="-2.5688930406352204E-2"/>
  </r>
  <r>
    <x v="0"/>
    <x v="87"/>
    <n v="20.86"/>
    <n v="21.49"/>
    <n v="23"/>
    <n v="19.82"/>
    <s v="15.60B"/>
    <n v="-2.5700000000000001E-2"/>
    <n v="-1.102588686481306E-2"/>
  </r>
  <r>
    <x v="0"/>
    <x v="88"/>
    <n v="20.63"/>
    <n v="20.89"/>
    <n v="21.31"/>
    <n v="18.649999999999999"/>
    <s v="11.11B"/>
    <n v="-1.0999999999999999E-2"/>
    <n v="1.1148812409112963E-2"/>
  </r>
  <r>
    <x v="0"/>
    <x v="89"/>
    <n v="20.86"/>
    <n v="20.329999999999998"/>
    <n v="21.07"/>
    <n v="19.59"/>
    <s v="7.86B"/>
    <n v="1.11E-2"/>
    <n v="4.5541706615532085E-2"/>
  </r>
  <r>
    <x v="0"/>
    <x v="90"/>
    <n v="21.81"/>
    <n v="20.88"/>
    <n v="22.14"/>
    <n v="20.36"/>
    <s v="8.91B"/>
    <n v="4.5499999999999999E-2"/>
    <n v="8.9408528198074419E-2"/>
  </r>
  <r>
    <x v="0"/>
    <x v="91"/>
    <n v="23.76"/>
    <n v="22"/>
    <n v="24.32"/>
    <n v="21.44"/>
    <s v="8.28B"/>
    <n v="8.9399999999999993E-2"/>
    <n v="2.9461279461278083E-3"/>
  </r>
  <r>
    <x v="0"/>
    <x v="92"/>
    <n v="23.83"/>
    <n v="23.78"/>
    <n v="25.18"/>
    <n v="23.43"/>
    <s v="9.20B"/>
    <n v="2.8999999999999998E-3"/>
    <n v="-0.10784725136382697"/>
  </r>
  <r>
    <x v="0"/>
    <x v="93"/>
    <n v="21.26"/>
    <n v="23.97"/>
    <n v="24.17"/>
    <n v="20.99"/>
    <s v="12.14B"/>
    <n v="-0.10780000000000001"/>
    <n v="-1.6933207902163828E-2"/>
  </r>
  <r>
    <x v="0"/>
    <x v="94"/>
    <n v="20.9"/>
    <n v="21.36"/>
    <n v="21.54"/>
    <n v="18.059999999999999"/>
    <s v="12.93B"/>
    <n v="-1.6899999999999998E-2"/>
    <n v="-9.0430622009569236E-2"/>
  </r>
  <r>
    <x v="0"/>
    <x v="95"/>
    <n v="19.010000000000002"/>
    <n v="21.2"/>
    <n v="21.24"/>
    <n v="17.899999999999999"/>
    <s v="12.14B"/>
    <n v="-9.0399999999999994E-2"/>
    <n v="-0.14413466596528152"/>
  </r>
  <r>
    <x v="0"/>
    <x v="96"/>
    <n v="16.27"/>
    <n v="19.78"/>
    <n v="19.82"/>
    <n v="15.54"/>
    <s v="13.12B"/>
    <n v="-0.14410000000000001"/>
    <n v="-3.1346035648432684E-2"/>
  </r>
  <r>
    <x v="0"/>
    <x v="97"/>
    <n v="15.76"/>
    <n v="16.399999999999999"/>
    <n v="17.32"/>
    <n v="15.63"/>
    <s v="9.34B"/>
    <n v="-3.1300000000000001E-2"/>
    <n v="3.1725888324873547E-3"/>
  </r>
  <r>
    <x v="0"/>
    <x v="98"/>
    <n v="15.81"/>
    <n v="15.64"/>
    <n v="16.78"/>
    <n v="14.96"/>
    <s v="9.18B"/>
    <n v="3.2000000000000002E-3"/>
    <n v="0"/>
  </r>
  <r>
    <x v="0"/>
    <x v="99"/>
    <n v="15.81"/>
    <n v="15.78"/>
    <n v="15.9"/>
    <n v="13.75"/>
    <s v="10.97B"/>
    <n v="0"/>
    <n v="1.5812776723592551E-2"/>
  </r>
  <r>
    <x v="0"/>
    <x v="100"/>
    <n v="16.059999999999999"/>
    <n v="15.87"/>
    <n v="16.63"/>
    <n v="14.96"/>
    <s v="9.45B"/>
    <n v="1.5800000000000002E-2"/>
    <n v="-0.11830635118306343"/>
  </r>
  <r>
    <x v="0"/>
    <x v="101"/>
    <n v="14.16"/>
    <n v="16.100000000000001"/>
    <n v="16.23"/>
    <n v="13.89"/>
    <s v="7.02B"/>
    <n v="-0.1183"/>
    <n v="0.14124293785310735"/>
  </r>
  <r>
    <x v="0"/>
    <x v="102"/>
    <n v="16.16"/>
    <n v="14.38"/>
    <n v="16.329999999999998"/>
    <n v="14.33"/>
    <s v="6.54B"/>
    <n v="0.14119999999999999"/>
    <n v="7.6732673267326634E-2"/>
  </r>
  <r>
    <x v="0"/>
    <x v="103"/>
    <n v="17.399999999999999"/>
    <n v="16.28"/>
    <n v="18.350000000000001"/>
    <n v="16.190000000000001"/>
    <s v="8.06B"/>
    <n v="7.6700000000000004E-2"/>
    <n v="-2.1264367816091808E-2"/>
  </r>
  <r>
    <x v="0"/>
    <x v="104"/>
    <n v="17.03"/>
    <n v="17.61"/>
    <n v="18.14"/>
    <n v="15.97"/>
    <s v="8.64B"/>
    <n v="-2.1299999999999999E-2"/>
    <n v="9.630064591896656E-2"/>
  </r>
  <r>
    <x v="0"/>
    <x v="105"/>
    <n v="18.670000000000002"/>
    <n v="17.09"/>
    <n v="19.260000000000002"/>
    <n v="17.079999999999998"/>
    <s v="7.84B"/>
    <n v="9.6299999999999997E-2"/>
    <n v="6.3738618103909891E-2"/>
  </r>
  <r>
    <x v="0"/>
    <x v="106"/>
    <n v="19.86"/>
    <n v="18.71"/>
    <n v="19.940000000000001"/>
    <n v="18.3"/>
    <s v="5.23B"/>
    <n v="6.3700000000000007E-2"/>
    <n v="9.0634441087613146E-3"/>
  </r>
  <r>
    <x v="0"/>
    <x v="107"/>
    <n v="20.04"/>
    <n v="19.93"/>
    <n v="20.54"/>
    <n v="19.239999999999998"/>
    <s v="7.06B"/>
    <n v="9.1000000000000004E-3"/>
    <n v="-0.10778443113772457"/>
  </r>
  <r>
    <x v="0"/>
    <x v="108"/>
    <n v="17.88"/>
    <n v="19.850000000000001"/>
    <n v="20.010000000000002"/>
    <n v="17.63"/>
    <s v="8.81B"/>
    <n v="-0.10780000000000001"/>
    <n v="5.0894854586129766E-2"/>
  </r>
  <r>
    <x v="0"/>
    <x v="109"/>
    <n v="18.79"/>
    <n v="17.95"/>
    <n v="19.690000000000001"/>
    <n v="17.829999999999998"/>
    <s v="5.89B"/>
    <n v="5.0900000000000001E-2"/>
    <n v="2.0223523150612165E-2"/>
  </r>
  <r>
    <x v="0"/>
    <x v="110"/>
    <n v="19.170000000000002"/>
    <n v="18.690000000000001"/>
    <n v="19.61"/>
    <n v="18.670000000000002"/>
    <s v="5.01B"/>
    <n v="2.0199999999999999E-2"/>
    <n v="9.9113197704746914E-2"/>
  </r>
  <r>
    <x v="0"/>
    <x v="111"/>
    <n v="21.07"/>
    <n v="19.21"/>
    <n v="21.41"/>
    <n v="18.260000000000002"/>
    <s v="6.44B"/>
    <n v="9.9099999999999994E-2"/>
    <n v="7.3089700996677706E-2"/>
  </r>
  <r>
    <x v="0"/>
    <x v="112"/>
    <n v="22.61"/>
    <n v="21.14"/>
    <n v="23.01"/>
    <n v="20.73"/>
    <s v="5.74B"/>
    <n v="7.3099999999999998E-2"/>
    <n v="2.7421494913755021E-2"/>
  </r>
  <r>
    <x v="0"/>
    <x v="113"/>
    <n v="23.23"/>
    <n v="22.64"/>
    <n v="23.76"/>
    <n v="22.23"/>
    <s v="4.83B"/>
    <n v="2.7400000000000001E-2"/>
    <n v="2.8842014636246152E-2"/>
  </r>
  <r>
    <x v="0"/>
    <x v="114"/>
    <n v="23.9"/>
    <n v="23.38"/>
    <n v="24.86"/>
    <n v="23.14"/>
    <s v="4.14B"/>
    <n v="2.8799999999999999E-2"/>
    <n v="7.1966527196652821E-2"/>
  </r>
  <r>
    <x v="0"/>
    <x v="115"/>
    <n v="25.62"/>
    <n v="23.73"/>
    <n v="25.73"/>
    <n v="23.32"/>
    <s v="3.75B"/>
    <n v="7.1999999999999995E-2"/>
    <n v="-1.6783762685402017E-2"/>
  </r>
  <r>
    <x v="0"/>
    <x v="116"/>
    <n v="25.19"/>
    <n v="25.77"/>
    <n v="25.93"/>
    <n v="24.04"/>
    <s v="6.11B"/>
    <n v="-1.6799999999999999E-2"/>
    <n v="7.1853910281857822E-2"/>
  </r>
  <r>
    <x v="0"/>
    <x v="117"/>
    <n v="27"/>
    <n v="25.15"/>
    <n v="27.01"/>
    <n v="23.8"/>
    <s v="5.44B"/>
    <n v="7.1900000000000006E-2"/>
    <n v="0.10111111111111112"/>
  </r>
  <r>
    <x v="0"/>
    <x v="118"/>
    <n v="29.73"/>
    <n v="27.05"/>
    <n v="29.94"/>
    <n v="26.93"/>
    <s v="3.28B"/>
    <n v="0.1011"/>
    <n v="-7.1981163807601764E-2"/>
  </r>
  <r>
    <x v="0"/>
    <x v="119"/>
    <n v="27.59"/>
    <n v="29.7"/>
    <n v="29.81"/>
    <n v="26.57"/>
    <s v="4.30B"/>
    <n v="-7.1999999999999995E-2"/>
    <n v="6.1616527727437455E-2"/>
  </r>
  <r>
    <x v="0"/>
    <x v="120"/>
    <n v="29.29"/>
    <n v="27.85"/>
    <n v="30"/>
    <n v="26.16"/>
    <s v="5.22B"/>
    <n v="6.1600000000000002E-2"/>
    <n v="9.6620006828268976E-2"/>
  </r>
  <r>
    <x v="0"/>
    <x v="121"/>
    <n v="32.119999999999997"/>
    <n v="29.51"/>
    <n v="33.4"/>
    <n v="29.02"/>
    <s v="4.55B"/>
    <n v="9.6600000000000005E-2"/>
    <n v="-3.1444582814445766E-2"/>
  </r>
  <r>
    <x v="0"/>
    <x v="122"/>
    <n v="31.11"/>
    <n v="32.31"/>
    <n v="32.57"/>
    <n v="30.41"/>
    <s v="4.55B"/>
    <n v="-3.1399999999999997E-2"/>
    <n v="5.785920925747339E-3"/>
  </r>
  <r>
    <x v="0"/>
    <x v="123"/>
    <n v="31.29"/>
    <n v="31.2"/>
    <n v="33.630000000000003"/>
    <n v="30.77"/>
    <s v="3.98B"/>
    <n v="5.7999999999999996E-3"/>
    <n v="4.0907638223074499E-2"/>
  </r>
  <r>
    <x v="0"/>
    <x v="124"/>
    <n v="32.57"/>
    <n v="31.52"/>
    <n v="33.24"/>
    <n v="30.84"/>
    <s v="3.82B"/>
    <n v="4.0899999999999999E-2"/>
    <n v="-3.7150752225974852E-2"/>
  </r>
  <r>
    <x v="0"/>
    <x v="125"/>
    <n v="31.36"/>
    <n v="32.799999999999997"/>
    <n v="32.85"/>
    <n v="31.12"/>
    <s v="3.51B"/>
    <n v="-3.7199999999999997E-2"/>
    <n v="-3.3163265306122423E-2"/>
  </r>
  <r>
    <x v="0"/>
    <x v="126"/>
    <n v="30.32"/>
    <n v="31.73"/>
    <n v="33.24"/>
    <n v="29.8"/>
    <s v="4.23B"/>
    <n v="-3.32E-2"/>
    <n v="-7.0250659630606824E-2"/>
  </r>
  <r>
    <x v="0"/>
    <x v="127"/>
    <n v="28.19"/>
    <n v="30.38"/>
    <n v="30.64"/>
    <n v="23"/>
    <s v="6.43B"/>
    <n v="-7.0300000000000001E-2"/>
    <n v="-2.1993614757006064E-2"/>
  </r>
  <r>
    <x v="0"/>
    <x v="128"/>
    <n v="27.57"/>
    <n v="27.54"/>
    <n v="29.22"/>
    <n v="26.84"/>
    <s v="4.83B"/>
    <n v="-2.1999999999999999E-2"/>
    <n v="8.378672470076165E-2"/>
  </r>
  <r>
    <x v="0"/>
    <x v="129"/>
    <n v="29.88"/>
    <n v="27.27"/>
    <n v="30.3"/>
    <n v="26.83"/>
    <s v="4.45B"/>
    <n v="8.3799999999999999E-2"/>
    <n v="-1.0374832663989248E-2"/>
  </r>
  <r>
    <x v="0"/>
    <x v="130"/>
    <n v="29.57"/>
    <n v="29.97"/>
    <n v="30.95"/>
    <n v="27.75"/>
    <s v="3.00B"/>
    <n v="-1.04E-2"/>
    <n v="-0.10990869124112276"/>
  </r>
  <r>
    <x v="0"/>
    <x v="131"/>
    <n v="26.32"/>
    <n v="29.69"/>
    <n v="29.96"/>
    <n v="26.2"/>
    <s v="3.69B"/>
    <n v="-0.1099"/>
    <n v="-7.5227963525835884E-2"/>
  </r>
  <r>
    <x v="0"/>
    <x v="132"/>
    <n v="24.34"/>
    <n v="25.65"/>
    <n v="26.46"/>
    <n v="23.1"/>
    <s v="5.09B"/>
    <n v="-7.5200000000000003E-2"/>
    <n v="-6.9843878389481574E-3"/>
  </r>
  <r>
    <x v="0"/>
    <x v="133"/>
    <n v="24.17"/>
    <n v="24.12"/>
    <n v="24.72"/>
    <n v="23.15"/>
    <s v="3.24B"/>
    <n v="-7.0000000000000001E-3"/>
    <n v="0.12743069921390146"/>
  </r>
  <r>
    <x v="0"/>
    <x v="134"/>
    <n v="27.25"/>
    <n v="24.41"/>
    <n v="27.61"/>
    <n v="24.36"/>
    <s v="2.98B"/>
    <n v="0.12740000000000001"/>
    <n v="-0.14018348623853211"/>
  </r>
  <r>
    <x v="0"/>
    <x v="135"/>
    <n v="23.43"/>
    <n v="27.2"/>
    <n v="28.1"/>
    <n v="23.13"/>
    <s v="3.49B"/>
    <n v="-0.14019999999999999"/>
    <n v="6.5300896286811835E-2"/>
  </r>
  <r>
    <x v="0"/>
    <x v="136"/>
    <n v="24.96"/>
    <n v="23.49"/>
    <n v="25.18"/>
    <n v="22.37"/>
    <s v="3.60B"/>
    <n v="6.5299999999999997E-2"/>
    <n v="-4.246794871794881E-2"/>
  </r>
  <r>
    <x v="0"/>
    <x v="137"/>
    <n v="23.9"/>
    <n v="24.75"/>
    <n v="25.47"/>
    <n v="22.88"/>
    <s v="3.12B"/>
    <n v="-4.2500000000000003E-2"/>
    <n v="8.9958158995815996E-2"/>
  </r>
  <r>
    <x v="0"/>
    <x v="138"/>
    <n v="26.05"/>
    <n v="23.87"/>
    <n v="26.14"/>
    <n v="23.59"/>
    <s v="2.74B"/>
    <n v="0.09"/>
    <n v="1.804222648752395E-2"/>
  </r>
  <r>
    <x v="0"/>
    <x v="139"/>
    <n v="26.52"/>
    <n v="26.1"/>
    <n v="27.56"/>
    <n v="26"/>
    <s v="2.52B"/>
    <n v="1.7999999999999999E-2"/>
    <n v="6.561085972850686E-2"/>
  </r>
  <r>
    <x v="0"/>
    <x v="140"/>
    <n v="28.26"/>
    <n v="26.54"/>
    <n v="29.05"/>
    <n v="25.63"/>
    <s v="3.88B"/>
    <n v="6.5600000000000006E-2"/>
    <n v="4.6001415428166669E-3"/>
  </r>
  <r>
    <x v="0"/>
    <x v="141"/>
    <n v="28.39"/>
    <n v="28.18"/>
    <n v="29.67"/>
    <n v="28.07"/>
    <s v="2.75B"/>
    <n v="4.5999999999999999E-3"/>
    <n v="-2.6769989432898964E-2"/>
  </r>
  <r>
    <x v="0"/>
    <x v="142"/>
    <n v="27.63"/>
    <n v="28.36"/>
    <n v="28.44"/>
    <n v="26.02"/>
    <s v="2.89B"/>
    <n v="-2.6800000000000001E-2"/>
    <n v="4.7774158523344205E-2"/>
  </r>
  <r>
    <x v="0"/>
    <x v="143"/>
    <n v="28.95"/>
    <n v="27.59"/>
    <n v="29.5"/>
    <n v="27.06"/>
    <s v="2.44B"/>
    <n v="4.7800000000000002E-2"/>
    <n v="4.8013816925734046E-2"/>
  </r>
  <r>
    <x v="0"/>
    <x v="144"/>
    <n v="30.34"/>
    <n v="28.95"/>
    <n v="30.61"/>
    <n v="28.69"/>
    <s v="2.25B"/>
    <n v="4.8000000000000001E-2"/>
    <n v="0.12887277521423862"/>
  </r>
  <r>
    <x v="0"/>
    <x v="145"/>
    <n v="34.25"/>
    <n v="31.76"/>
    <n v="34.369999999999997"/>
    <n v="31.75"/>
    <s v="2.30B"/>
    <n v="0.12889999999999999"/>
    <n v="4.8467153284671431E-2"/>
  </r>
  <r>
    <x v="0"/>
    <x v="146"/>
    <n v="35.909999999999997"/>
    <n v="34.47"/>
    <n v="36.119999999999997"/>
    <n v="34.26"/>
    <s v="2.25B"/>
    <n v="4.8500000000000001E-2"/>
    <n v="0"/>
  </r>
  <r>
    <x v="0"/>
    <x v="147"/>
    <n v="35.909999999999997"/>
    <n v="35.93"/>
    <n v="36.369999999999997"/>
    <n v="35.020000000000003"/>
    <s v="1.49B"/>
    <n v="0"/>
    <n v="6.349206349206353E-2"/>
  </r>
  <r>
    <x v="0"/>
    <x v="148"/>
    <n v="38.19"/>
    <n v="36.270000000000003"/>
    <n v="39.159999999999997"/>
    <n v="36.07"/>
    <s v="2.62B"/>
    <n v="6.3500000000000001E-2"/>
    <n v="-5.7083006022518978E-2"/>
  </r>
  <r>
    <x v="0"/>
    <x v="149"/>
    <n v="36.01"/>
    <n v="38.29"/>
    <n v="38.99"/>
    <n v="35.549999999999997"/>
    <s v="2.74B"/>
    <n v="-5.7099999999999998E-2"/>
    <n v="3.249097472924193E-2"/>
  </r>
  <r>
    <x v="0"/>
    <x v="150"/>
    <n v="37.18"/>
    <n v="36.22"/>
    <n v="38.5"/>
    <n v="35.6"/>
    <s v="1.69B"/>
    <n v="3.2500000000000001E-2"/>
    <n v="0.10274341043571814"/>
  </r>
  <r>
    <x v="0"/>
    <x v="151"/>
    <n v="41"/>
    <n v="37.270000000000003"/>
    <n v="41.13"/>
    <n v="37.1"/>
    <s v="2.64B"/>
    <n v="0.1027"/>
    <n v="-6.024390243902436E-2"/>
  </r>
  <r>
    <x v="0"/>
    <x v="152"/>
    <n v="38.53"/>
    <n v="41.2"/>
    <n v="41.23"/>
    <n v="37.29"/>
    <s v="2.72B"/>
    <n v="-6.0199999999999997E-2"/>
    <n v="9.6807682325460595E-2"/>
  </r>
  <r>
    <x v="0"/>
    <x v="153"/>
    <n v="42.26"/>
    <n v="38.56"/>
    <n v="42.41"/>
    <n v="38.119999999999997"/>
    <s v="2.02B"/>
    <n v="9.6799999999999997E-2"/>
    <n v="1.6564126833885539E-2"/>
  </r>
  <r>
    <x v="0"/>
    <x v="154"/>
    <n v="42.96"/>
    <n v="42.47"/>
    <n v="44.06"/>
    <n v="41.32"/>
    <s v="2.40B"/>
    <n v="1.66E-2"/>
    <n v="-1.5130353817504622E-2"/>
  </r>
  <r>
    <x v="0"/>
    <x v="155"/>
    <n v="42.31"/>
    <n v="42.49"/>
    <n v="44.3"/>
    <n v="41.62"/>
    <s v="2.12B"/>
    <n v="-1.5100000000000001E-2"/>
    <n v="-1.0635783502718101E-2"/>
  </r>
  <r>
    <x v="0"/>
    <x v="156"/>
    <n v="41.86"/>
    <n v="42.54"/>
    <n v="45.02"/>
    <n v="41.17"/>
    <s v="2.64B"/>
    <n v="-1.06E-2"/>
    <n v="6.3784042044911657E-2"/>
  </r>
  <r>
    <x v="0"/>
    <x v="157"/>
    <n v="44.53"/>
    <n v="41.79"/>
    <n v="45.15"/>
    <n v="37.56"/>
    <s v="3.71B"/>
    <n v="6.3799999999999996E-2"/>
    <n v="-5.7938468448237107E-2"/>
  </r>
  <r>
    <x v="0"/>
    <x v="158"/>
    <n v="41.95"/>
    <n v="44.63"/>
    <n v="45.88"/>
    <n v="41.23"/>
    <s v="2.85B"/>
    <n v="-5.79E-2"/>
    <n v="-1.525625744934447E-2"/>
  </r>
  <r>
    <x v="0"/>
    <x v="159"/>
    <n v="41.31"/>
    <n v="41.97"/>
    <n v="44.73"/>
    <n v="40.159999999999997"/>
    <s v="2.67B"/>
    <n v="-1.5299999999999999E-2"/>
    <n v="0.13096102638586291"/>
  </r>
  <r>
    <x v="0"/>
    <x v="160"/>
    <n v="46.72"/>
    <n v="41.6"/>
    <n v="47.59"/>
    <n v="41.32"/>
    <s v="2.48B"/>
    <n v="0.13100000000000001"/>
    <n v="-9.4178082191780331E-3"/>
  </r>
  <r>
    <x v="0"/>
    <x v="161"/>
    <n v="46.28"/>
    <n v="47"/>
    <n v="48.55"/>
    <n v="45.18"/>
    <s v="2.11B"/>
    <n v="-9.4000000000000004E-3"/>
    <n v="2.7873811581676729E-2"/>
  </r>
  <r>
    <x v="0"/>
    <x v="162"/>
    <n v="47.57"/>
    <n v="45.95"/>
    <n v="48.99"/>
    <n v="45.85"/>
    <s v="1.58B"/>
    <n v="2.7900000000000001E-2"/>
    <n v="0.19634223249947438"/>
  </r>
  <r>
    <x v="0"/>
    <x v="163"/>
    <n v="56.91"/>
    <n v="49.78"/>
    <n v="57.22"/>
    <n v="49.33"/>
    <s v="2.80B"/>
    <n v="0.1963"/>
    <n v="-8.2586540151115603E-3"/>
  </r>
  <r>
    <x v="0"/>
    <x v="164"/>
    <n v="56.44"/>
    <n v="57.1"/>
    <n v="57.42"/>
    <n v="53.83"/>
    <s v="2.72B"/>
    <n v="-8.3000000000000001E-3"/>
    <n v="-3.0474840538625071E-2"/>
  </r>
  <r>
    <x v="0"/>
    <x v="165"/>
    <n v="54.72"/>
    <n v="56.99"/>
    <n v="58.37"/>
    <n v="51.52"/>
    <s v="3.16B"/>
    <n v="-3.0499999999999999E-2"/>
    <n v="-0.18402777777777779"/>
  </r>
  <r>
    <x v="0"/>
    <x v="166"/>
    <n v="44.65"/>
    <n v="54.76"/>
    <n v="55.59"/>
    <n v="42.56"/>
    <s v="3.85B"/>
    <n v="-0.184"/>
    <n v="-0.11668533034714448"/>
  </r>
  <r>
    <x v="0"/>
    <x v="167"/>
    <n v="39.44"/>
    <n v="46.12"/>
    <n v="46.23"/>
    <n v="36.65"/>
    <s v="3.60B"/>
    <n v="-0.1167"/>
    <n v="5.5020283975659279E-2"/>
  </r>
  <r>
    <x v="0"/>
    <x v="168"/>
    <n v="41.61"/>
    <n v="38.72"/>
    <n v="42.25"/>
    <n v="35.5"/>
    <s v="3.31B"/>
    <n v="5.5E-2"/>
    <n v="4.03749098774333E-2"/>
  </r>
  <r>
    <x v="0"/>
    <x v="169"/>
    <n v="43.29"/>
    <n v="41.74"/>
    <n v="43.97"/>
    <n v="41.48"/>
    <s v="1.89B"/>
    <n v="4.0399999999999998E-2"/>
    <n v="9.702009702009709E-2"/>
  </r>
  <r>
    <x v="0"/>
    <x v="170"/>
    <n v="47.49"/>
    <n v="43.57"/>
    <n v="49.42"/>
    <n v="42.38"/>
    <s v="2.60B"/>
    <n v="9.7000000000000003E-2"/>
    <n v="5.6432933249105068E-2"/>
  </r>
  <r>
    <x v="0"/>
    <x v="171"/>
    <n v="50.17"/>
    <n v="47.91"/>
    <n v="52.12"/>
    <n v="47.09"/>
    <s v="2.02B"/>
    <n v="5.6399999999999999E-2"/>
    <n v="-0.1275662746661351"/>
  </r>
  <r>
    <x v="0"/>
    <x v="172"/>
    <n v="43.77"/>
    <n v="52.47"/>
    <n v="53.83"/>
    <n v="43.75"/>
    <s v="2.96B"/>
    <n v="-0.12759999999999999"/>
    <n v="0.13045464930317555"/>
  </r>
  <r>
    <x v="0"/>
    <x v="173"/>
    <n v="49.48"/>
    <n v="43.9"/>
    <n v="50.39"/>
    <n v="42.57"/>
    <s v="2.06B"/>
    <n v="0.1305"/>
    <n v="7.6394502829426059E-2"/>
  </r>
  <r>
    <x v="0"/>
    <x v="174"/>
    <n v="53.26"/>
    <n v="50.79"/>
    <n v="55.34"/>
    <n v="49.6"/>
    <s v="1.90B"/>
    <n v="7.6399999999999996E-2"/>
    <n v="-2.0090123920390543E-2"/>
  </r>
  <r>
    <x v="0"/>
    <x v="175"/>
    <n v="52.19"/>
    <n v="53.48"/>
    <n v="54.51"/>
    <n v="48.15"/>
    <s v="2.73B"/>
    <n v="-2.01E-2"/>
    <n v="7.2810883310979194E-2"/>
  </r>
  <r>
    <x v="0"/>
    <x v="176"/>
    <n v="55.99"/>
    <n v="51.61"/>
    <n v="56.6"/>
    <n v="51.05"/>
    <s v="2.19B"/>
    <n v="7.2800000000000004E-2"/>
    <n v="0.11073405965350948"/>
  </r>
  <r>
    <x v="0"/>
    <x v="177"/>
    <n v="62.19"/>
    <n v="56.27"/>
    <n v="62.44"/>
    <n v="53.78"/>
    <s v="2.49B"/>
    <n v="0.11070000000000001"/>
    <n v="7.4288470815243687E-2"/>
  </r>
  <r>
    <x v="0"/>
    <x v="178"/>
    <n v="66.81"/>
    <n v="62.38"/>
    <n v="67"/>
    <n v="62.29"/>
    <s v="1.80B"/>
    <n v="7.4300000000000005E-2"/>
    <n v="9.8787606645711637E-2"/>
  </r>
  <r>
    <x v="0"/>
    <x v="179"/>
    <n v="73.41"/>
    <n v="66.819999999999993"/>
    <n v="73.489999999999995"/>
    <n v="64.069999999999993"/>
    <s v="2.40B"/>
    <n v="9.8799999999999999E-2"/>
    <n v="5.4079825636834208E-2"/>
  </r>
  <r>
    <x v="0"/>
    <x v="180"/>
    <n v="77.38"/>
    <n v="74.06"/>
    <n v="81.96"/>
    <n v="73.19"/>
    <s v="2.94B"/>
    <n v="5.4100000000000002E-2"/>
    <n v="-0.11682605324373213"/>
  </r>
  <r>
    <x v="0"/>
    <x v="181"/>
    <n v="68.34"/>
    <n v="76.08"/>
    <n v="81.81"/>
    <n v="64.09"/>
    <s v="3.02B"/>
    <n v="-0.1168"/>
    <n v="-6.979806848112384E-2"/>
  </r>
  <r>
    <x v="0"/>
    <x v="182"/>
    <n v="63.57"/>
    <n v="70.569999999999993"/>
    <n v="76"/>
    <n v="53.15"/>
    <s v="6.28B"/>
    <n v="-6.9800000000000001E-2"/>
    <n v="0.15541922290388552"/>
  </r>
  <r>
    <x v="0"/>
    <x v="183"/>
    <n v="73.45"/>
    <n v="61.62"/>
    <n v="73.63"/>
    <n v="59.23"/>
    <s v="3.27B"/>
    <n v="0.15540000000000001"/>
    <n v="8.2096664397549368E-2"/>
  </r>
  <r>
    <x v="0"/>
    <x v="184"/>
    <n v="79.48"/>
    <n v="71.56"/>
    <n v="81.06"/>
    <n v="71.459999999999994"/>
    <s v="2.81B"/>
    <n v="8.2100000000000006E-2"/>
    <n v="0.14745848012078508"/>
  </r>
  <r>
    <x v="0"/>
    <x v="185"/>
    <n v="91.2"/>
    <n v="79.44"/>
    <n v="93.09"/>
    <n v="79.3"/>
    <s v="3.24B"/>
    <n v="0.14749999999999999"/>
    <n v="0.16513157894736843"/>
  </r>
  <r>
    <x v="0"/>
    <x v="186"/>
    <n v="106.26"/>
    <n v="91.28"/>
    <n v="106.42"/>
    <n v="89.14"/>
    <s v="3.02B"/>
    <n v="0.1651"/>
    <n v="0.21437982307547512"/>
  </r>
  <r>
    <x v="0"/>
    <x v="187"/>
    <n v="129.04"/>
    <n v="108.2"/>
    <n v="131"/>
    <n v="107.89"/>
    <s v="4.07B"/>
    <n v="0.21440000000000001"/>
    <n v="-0.10252634841909478"/>
  </r>
  <r>
    <x v="0"/>
    <x v="188"/>
    <n v="115.81"/>
    <n v="132.76"/>
    <n v="137.97999999999999"/>
    <n v="103.1"/>
    <s v="3.89B"/>
    <n v="-0.10249999999999999"/>
    <n v="-6.0012088766082397E-2"/>
  </r>
  <r>
    <x v="0"/>
    <x v="189"/>
    <n v="108.86"/>
    <n v="117.64"/>
    <n v="125.39"/>
    <n v="107.72"/>
    <s v="2.90B"/>
    <n v="-0.06"/>
    <n v="9.3606467021862927E-2"/>
  </r>
  <r>
    <x v="0"/>
    <x v="190"/>
    <n v="119.05"/>
    <n v="109.11"/>
    <n v="121.99"/>
    <n v="107.32"/>
    <s v="2.12B"/>
    <n v="9.3600000000000003E-2"/>
    <n v="0.11457370852582949"/>
  </r>
  <r>
    <x v="0"/>
    <x v="191"/>
    <n v="132.69"/>
    <n v="121.01"/>
    <n v="138.79"/>
    <n v="120.01"/>
    <s v="2.32B"/>
    <n v="0.11459999999999999"/>
    <n v="-5.5015449544049272E-3"/>
  </r>
  <r>
    <x v="0"/>
    <x v="192"/>
    <n v="131.96"/>
    <n v="133.52000000000001"/>
    <n v="145.09"/>
    <n v="126.38"/>
    <s v="2.24B"/>
    <n v="-5.4999999999999997E-3"/>
    <n v="-8.1085177326462587E-2"/>
  </r>
  <r>
    <x v="0"/>
    <x v="193"/>
    <n v="121.26"/>
    <n v="133.75"/>
    <n v="137.88"/>
    <n v="118.39"/>
    <s v="1.83B"/>
    <n v="-8.1100000000000005E-2"/>
    <n v="7.3396008576612284E-3"/>
  </r>
  <r>
    <x v="0"/>
    <x v="194"/>
    <n v="122.15"/>
    <n v="123.75"/>
    <n v="128.72"/>
    <n v="116.21"/>
    <s v="2.65B"/>
    <n v="7.3000000000000001E-3"/>
    <n v="7.621776504297996E-2"/>
  </r>
  <r>
    <x v="0"/>
    <x v="195"/>
    <n v="131.46"/>
    <n v="123.66"/>
    <n v="137.07"/>
    <n v="122.49"/>
    <s v="1.89B"/>
    <n v="7.6200000000000004E-2"/>
    <n v="-5.2107104822759834E-2"/>
  </r>
  <r>
    <x v="0"/>
    <x v="196"/>
    <n v="124.61"/>
    <n v="132.04"/>
    <n v="134.07"/>
    <n v="122.25"/>
    <s v="1.71B"/>
    <n v="-5.21E-2"/>
    <n v="9.9109220768798717E-2"/>
  </r>
  <r>
    <x v="0"/>
    <x v="197"/>
    <n v="136.96"/>
    <n v="125.08"/>
    <n v="137.41"/>
    <n v="123.13"/>
    <s v="1.61B"/>
    <n v="9.9099999999999994E-2"/>
    <n v="6.4982476635514055E-2"/>
  </r>
  <r>
    <x v="0"/>
    <x v="198"/>
    <n v="145.86000000000001"/>
    <n v="136.6"/>
    <n v="150"/>
    <n v="135.76"/>
    <s v="1.92B"/>
    <n v="6.5000000000000002E-2"/>
    <n v="4.092965857671739E-2"/>
  </r>
  <r>
    <x v="0"/>
    <x v="199"/>
    <n v="151.83000000000001"/>
    <n v="146.36000000000001"/>
    <n v="153.49"/>
    <n v="144.5"/>
    <s v="1.46B"/>
    <n v="4.0899999999999999E-2"/>
    <n v="-6.8036619903839898E-2"/>
  </r>
  <r>
    <x v="0"/>
    <x v="200"/>
    <n v="141.5"/>
    <n v="152.83000000000001"/>
    <n v="157.26"/>
    <n v="141.27000000000001"/>
    <s v="1.80B"/>
    <n v="-6.8000000000000005E-2"/>
    <n v="5.8657243816254499E-2"/>
  </r>
  <r>
    <x v="0"/>
    <x v="201"/>
    <n v="149.80000000000001"/>
    <n v="141.9"/>
    <n v="153.16"/>
    <n v="138.27000000000001"/>
    <s v="1.57B"/>
    <n v="5.8700000000000002E-2"/>
    <n v="0.1034712950600801"/>
  </r>
  <r>
    <x v="0"/>
    <x v="202"/>
    <n v="165.3"/>
    <n v="148.99"/>
    <n v="165.7"/>
    <n v="147.47999999999999"/>
    <s v="1.69B"/>
    <n v="0.10349999999999999"/>
    <n v="7.4228675136116043E-2"/>
  </r>
  <r>
    <x v="0"/>
    <x v="203"/>
    <n v="177.57"/>
    <n v="167.48"/>
    <n v="182.13"/>
    <n v="157.80000000000001"/>
    <s v="2.45B"/>
    <n v="7.4200000000000002E-2"/>
    <n v="-1.571211353269129E-2"/>
  </r>
  <r>
    <x v="0"/>
    <x v="204"/>
    <n v="174.78"/>
    <n v="177.83"/>
    <n v="182.94"/>
    <n v="154.69999999999999"/>
    <s v="2.11B"/>
    <n v="-1.5699999999999999E-2"/>
    <n v="-5.5269481634054221E-2"/>
  </r>
  <r>
    <x v="0"/>
    <x v="205"/>
    <n v="165.12"/>
    <n v="174.01"/>
    <n v="176.65"/>
    <n v="152"/>
    <s v="1.63B"/>
    <n v="-5.5300000000000002E-2"/>
    <n v="5.7473352713178348E-2"/>
  </r>
  <r>
    <x v="0"/>
    <x v="206"/>
    <n v="174.61"/>
    <n v="164.69"/>
    <n v="179.61"/>
    <n v="150.1"/>
    <s v="2.18B"/>
    <n v="5.7500000000000002E-2"/>
    <n v="-9.7130748525284957E-2"/>
  </r>
  <r>
    <x v="0"/>
    <x v="207"/>
    <n v="157.65"/>
    <n v="174.03"/>
    <n v="178.49"/>
    <n v="155.38"/>
    <s v="1.69B"/>
    <n v="-9.7100000000000006E-2"/>
    <n v="-5.5883285759594052E-2"/>
  </r>
  <r>
    <x v="0"/>
    <x v="208"/>
    <n v="148.84"/>
    <n v="156.71"/>
    <n v="166.48"/>
    <n v="132.61000000000001"/>
    <s v="2.40B"/>
    <n v="-5.5899999999999998E-2"/>
    <n v="-8.1429723192690165E-2"/>
  </r>
  <r>
    <x v="0"/>
    <x v="209"/>
    <n v="136.72"/>
    <n v="149.9"/>
    <n v="151.74"/>
    <n v="129.04"/>
    <s v="1.75B"/>
    <n v="-8.14E-2"/>
    <n v="0.18863370392042125"/>
  </r>
  <r>
    <x v="0"/>
    <x v="210"/>
    <n v="162.51"/>
    <n v="136.04"/>
    <n v="163.63"/>
    <n v="135.66"/>
    <s v="1.45B"/>
    <n v="0.18859999999999999"/>
    <n v="-3.2551842963509887E-2"/>
  </r>
  <r>
    <x v="0"/>
    <x v="211"/>
    <n v="157.22"/>
    <n v="161.01"/>
    <n v="176.15"/>
    <n v="157.13999999999999"/>
    <s v="1.51B"/>
    <n v="-3.2599999999999997E-2"/>
    <n v="-0.12097697493957518"/>
  </r>
  <r>
    <x v="0"/>
    <x v="212"/>
    <n v="138.19999999999999"/>
    <n v="156.63999999999999"/>
    <n v="164.26"/>
    <n v="138"/>
    <s v="2.08B"/>
    <n v="-0.121"/>
    <n v="0.10955137481910286"/>
  </r>
  <r>
    <x v="0"/>
    <x v="213"/>
    <n v="153.34"/>
    <n v="138.21"/>
    <n v="157.5"/>
    <n v="134.37"/>
    <s v="1.87B"/>
    <n v="0.1096"/>
    <n v="-3.4628929176992319E-2"/>
  </r>
  <r>
    <x v="0"/>
    <x v="214"/>
    <n v="148.03"/>
    <n v="155.08000000000001"/>
    <n v="155.44999999999999"/>
    <n v="134.38"/>
    <s v="1.72B"/>
    <n v="-3.4599999999999999E-2"/>
    <n v="-0.12227251232858201"/>
  </r>
  <r>
    <x v="0"/>
    <x v="215"/>
    <n v="129.93"/>
    <n v="148.21"/>
    <n v="150.91999999999999"/>
    <n v="125.87"/>
    <s v="1.68B"/>
    <n v="-0.12230000000000001"/>
    <n v="0.11052104979604391"/>
  </r>
  <r>
    <x v="0"/>
    <x v="216"/>
    <n v="144.29"/>
    <n v="130.28"/>
    <n v="147.22999999999999"/>
    <n v="124.17"/>
    <s v="1.44B"/>
    <n v="0.1105"/>
    <n v="2.1623120105343438E-2"/>
  </r>
  <r>
    <x v="0"/>
    <x v="217"/>
    <n v="147.41"/>
    <n v="143.97"/>
    <n v="157.38"/>
    <n v="141.32"/>
    <s v="1.31B"/>
    <n v="2.1600000000000001E-2"/>
    <n v="0.11864866698324408"/>
  </r>
  <r>
    <x v="0"/>
    <x v="218"/>
    <n v="164.9"/>
    <n v="146.83000000000001"/>
    <n v="165"/>
    <n v="143.9"/>
    <s v="1.52B"/>
    <n v="0.1186"/>
    <n v="2.8987265009096427E-2"/>
  </r>
  <r>
    <x v="0"/>
    <x v="219"/>
    <n v="169.68"/>
    <n v="164.27"/>
    <n v="169.85"/>
    <n v="159.78"/>
    <s v="969.78M"/>
    <n v="2.9000000000000001E-2"/>
    <n v="4.4613389910419569E-2"/>
  </r>
  <r>
    <x v="0"/>
    <x v="220"/>
    <n v="177.25"/>
    <n v="169.28"/>
    <n v="179.35"/>
    <n v="164.31"/>
    <s v="1.28B"/>
    <n v="4.4600000000000001E-2"/>
    <n v="9.4330042313117063E-2"/>
  </r>
  <r>
    <x v="0"/>
    <x v="221"/>
    <n v="193.97"/>
    <n v="177.7"/>
    <n v="194.48"/>
    <n v="176.93"/>
    <s v="1.30B"/>
    <n v="9.4299999999999995E-2"/>
    <n v="1.2785482291075886E-2"/>
  </r>
  <r>
    <x v="0"/>
    <x v="222"/>
    <n v="196.45"/>
    <n v="193.78"/>
    <n v="198.23"/>
    <n v="186.6"/>
    <s v="996.37M"/>
    <n v="1.2800000000000001E-2"/>
    <n v="-4.367523542886223E-2"/>
  </r>
  <r>
    <x v="0"/>
    <x v="223"/>
    <n v="187.87"/>
    <n v="196.24"/>
    <n v="196.73"/>
    <n v="171.96"/>
    <s v="1.32B"/>
    <n v="-4.3700000000000003E-2"/>
    <n v="-8.8678341406291564E-2"/>
  </r>
  <r>
    <x v="0"/>
    <x v="224"/>
    <n v="171.21"/>
    <n v="189.49"/>
    <n v="189.98"/>
    <n v="167.62"/>
    <s v="1.34B"/>
    <n v="-8.8700000000000001E-2"/>
    <n v="-2.5699433444308028E-3"/>
  </r>
  <r>
    <x v="0"/>
    <x v="225"/>
    <n v="170.77"/>
    <n v="171.22"/>
    <n v="182.34"/>
    <n v="165.67"/>
    <s v="1.17B"/>
    <n v="-2.5999999999999999E-3"/>
    <n v="0.11231480939275035"/>
  </r>
  <r>
    <x v="0"/>
    <x v="226"/>
    <n v="189.95"/>
    <n v="171"/>
    <n v="192.93"/>
    <n v="170.12"/>
    <s v="1.10B"/>
    <n v="0.1123"/>
    <n v="1.3582521716241183E-2"/>
  </r>
  <r>
    <x v="0"/>
    <x v="227"/>
    <n v="192.53"/>
    <n v="190.33"/>
    <n v="199.62"/>
    <n v="187.45"/>
    <s v="1.06B"/>
    <n v="1.3599999999999999E-2"/>
    <n v="-4.2227185373707968E-2"/>
  </r>
  <r>
    <x v="0"/>
    <x v="228"/>
    <n v="184.4"/>
    <n v="187.15"/>
    <n v="196.38"/>
    <n v="180.17"/>
    <s v="1.19B"/>
    <n v="-4.2200000000000001E-2"/>
    <n v="-1.9793926247288533E-2"/>
  </r>
  <r>
    <x v="0"/>
    <x v="229"/>
    <n v="180.75"/>
    <n v="183.99"/>
    <n v="191.05"/>
    <n v="179.25"/>
    <s v="1.16B"/>
    <n v="-1.9800000000000002E-2"/>
    <n v="-5.1286307053941965E-2"/>
  </r>
  <r>
    <x v="0"/>
    <x v="230"/>
    <n v="171.48"/>
    <n v="179.55"/>
    <n v="180.53"/>
    <n v="168.49"/>
    <s v="1.43B"/>
    <n v="-5.1299999999999998E-2"/>
    <n v="-6.7063214369021303E-3"/>
  </r>
  <r>
    <x v="0"/>
    <x v="231"/>
    <n v="170.33"/>
    <n v="171.19"/>
    <n v="178.36"/>
    <n v="164.07"/>
    <s v="1.25B"/>
    <n v="-6.7000000000000002E-3"/>
    <n v="0.1286913638231667"/>
  </r>
  <r>
    <x v="0"/>
    <x v="232"/>
    <n v="192.25"/>
    <n v="169.58"/>
    <n v="193"/>
    <n v="169.11"/>
    <s v="1.34B"/>
    <n v="0.12870000000000001"/>
    <n v="9.555266579973995E-2"/>
  </r>
  <r>
    <x v="0"/>
    <x v="233"/>
    <n v="210.62"/>
    <n v="192.9"/>
    <n v="220.2"/>
    <n v="192.15"/>
    <s v="1.72B"/>
    <n v="9.5600000000000004E-2"/>
    <n v="5.4410787199696171E-2"/>
  </r>
  <r>
    <x v="0"/>
    <x v="234"/>
    <n v="222.08"/>
    <n v="212.09"/>
    <n v="237.23"/>
    <n v="211.92"/>
    <s v="1.15B"/>
    <n v="5.4399999999999997E-2"/>
    <n v="3.1159942363112335E-2"/>
  </r>
  <r>
    <x v="0"/>
    <x v="235"/>
    <n v="229"/>
    <n v="224.37"/>
    <n v="232.92"/>
    <n v="196"/>
    <s v="1.12B"/>
    <n v="3.1199999999999999E-2"/>
    <n v="1.7467248908296942E-2"/>
  </r>
  <r>
    <x v="0"/>
    <x v="236"/>
    <n v="233"/>
    <n v="228.55"/>
    <n v="233.09"/>
    <n v="213.92"/>
    <s v="1.23B"/>
    <n v="1.7500000000000002E-2"/>
    <n v="-3.0429184549356239E-2"/>
  </r>
  <r>
    <x v="0"/>
    <x v="237"/>
    <n v="225.91"/>
    <n v="229.52"/>
    <n v="237.49"/>
    <n v="221.33"/>
    <s v="930.84M"/>
    <n v="-3.04E-2"/>
    <n v="5.0551104422115072E-2"/>
  </r>
  <r>
    <x v="0"/>
    <x v="238"/>
    <n v="237.33"/>
    <n v="220.97"/>
    <n v="237.81"/>
    <n v="219.71"/>
    <s v="891.64M"/>
    <n v="5.0599999999999999E-2"/>
    <n v="5.5155269034677344E-2"/>
  </r>
  <r>
    <x v="0"/>
    <x v="239"/>
    <n v="250.42"/>
    <n v="237.27"/>
    <n v="260.10000000000002"/>
    <n v="237.16"/>
    <s v="977.94M"/>
    <n v="5.5199999999999999E-2"/>
    <n v="0"/>
  </r>
  <r>
    <x v="1"/>
    <x v="0"/>
    <n v="2.16"/>
    <n v="2.25"/>
    <n v="2.27"/>
    <n v="2.0099999999999998"/>
    <s v="3.91B"/>
    <n v="-2.2599999999999999E-2"/>
    <n v="-0.18518518518518523"/>
  </r>
  <r>
    <x v="1"/>
    <x v="1"/>
    <n v="1.76"/>
    <n v="2.15"/>
    <n v="2.1800000000000002"/>
    <n v="1.66"/>
    <s v="4.42B"/>
    <n v="-0.1852"/>
    <n v="-2.8409090909090936E-2"/>
  </r>
  <r>
    <x v="1"/>
    <x v="2"/>
    <n v="1.71"/>
    <n v="1.75"/>
    <n v="1.82"/>
    <n v="1.64"/>
    <s v="2.40B"/>
    <n v="-2.8400000000000002E-2"/>
    <n v="-5.2631578947368342E-2"/>
  </r>
  <r>
    <x v="1"/>
    <x v="3"/>
    <n v="1.62"/>
    <n v="1.73"/>
    <n v="1.77"/>
    <n v="1.53"/>
    <s v="3.32B"/>
    <n v="-5.2600000000000001E-2"/>
    <n v="9.8765432098765371E-2"/>
  </r>
  <r>
    <x v="1"/>
    <x v="4"/>
    <n v="1.78"/>
    <n v="1.61"/>
    <n v="1.8"/>
    <n v="1.6"/>
    <s v="2.34B"/>
    <n v="9.8799999999999999E-2"/>
    <n v="-7.3033707865168607E-2"/>
  </r>
  <r>
    <x v="1"/>
    <x v="5"/>
    <n v="1.65"/>
    <n v="1.78"/>
    <n v="1.85"/>
    <n v="1.65"/>
    <s v="2.13B"/>
    <n v="-7.2999999999999995E-2"/>
    <n v="0.36969696969696964"/>
  </r>
  <r>
    <x v="1"/>
    <x v="6"/>
    <n v="2.2599999999999998"/>
    <n v="1.66"/>
    <n v="2.29"/>
    <n v="1.64"/>
    <s v="3.69B"/>
    <n v="0.36969999999999997"/>
    <n v="-5.7522123893805267E-2"/>
  </r>
  <r>
    <x v="1"/>
    <x v="7"/>
    <n v="2.13"/>
    <n v="2.2400000000000002"/>
    <n v="2.35"/>
    <n v="2.1"/>
    <s v="2.31B"/>
    <n v="-5.7500000000000002E-2"/>
    <n v="6.5727699530516492E-2"/>
  </r>
  <r>
    <x v="1"/>
    <x v="8"/>
    <n v="2.27"/>
    <n v="2.13"/>
    <n v="2.29"/>
    <n v="2.02"/>
    <s v="2.10B"/>
    <n v="6.5699999999999995E-2"/>
    <n v="-0.12334801762114539"/>
  </r>
  <r>
    <x v="1"/>
    <x v="9"/>
    <n v="1.99"/>
    <n v="2.27"/>
    <n v="2.35"/>
    <n v="1.94"/>
    <s v="2.96B"/>
    <n v="-0.12330000000000001"/>
    <n v="0.21608040201005022"/>
  </r>
  <r>
    <x v="1"/>
    <x v="10"/>
    <n v="2.42"/>
    <n v="2"/>
    <n v="2.4700000000000002"/>
    <n v="1.98"/>
    <s v="4.33B"/>
    <n v="0.21609999999999999"/>
    <n v="-2.4793388429752088E-2"/>
  </r>
  <r>
    <x v="1"/>
    <x v="11"/>
    <n v="2.36"/>
    <n v="2.44"/>
    <n v="2.5"/>
    <n v="2.36"/>
    <s v="2.42B"/>
    <n v="-2.4799999999999999E-2"/>
    <n v="-5.0847457627118502E-2"/>
  </r>
  <r>
    <x v="1"/>
    <x v="12"/>
    <n v="2.2400000000000002"/>
    <n v="2.37"/>
    <n v="2.4300000000000002"/>
    <n v="2.15"/>
    <s v="2.47B"/>
    <n v="-5.0799999999999998E-2"/>
    <n v="-0.16517857142857145"/>
  </r>
  <r>
    <x v="1"/>
    <x v="13"/>
    <n v="1.87"/>
    <n v="2.2000000000000002"/>
    <n v="2.23"/>
    <n v="1.85"/>
    <s v="3.31B"/>
    <n v="-0.16520000000000001"/>
    <n v="-2.1390374331550818E-2"/>
  </r>
  <r>
    <x v="1"/>
    <x v="14"/>
    <n v="1.83"/>
    <n v="1.87"/>
    <n v="1.89"/>
    <n v="1.76"/>
    <s v="2.44B"/>
    <n v="-2.1399999999999999E-2"/>
    <n v="-3.8251366120218615E-2"/>
  </r>
  <r>
    <x v="1"/>
    <x v="15"/>
    <n v="1.76"/>
    <n v="1.83"/>
    <n v="1.94"/>
    <n v="1.75"/>
    <s v="2.14B"/>
    <n v="-3.8300000000000001E-2"/>
    <n v="-1.7045454545454562E-2"/>
  </r>
  <r>
    <x v="1"/>
    <x v="16"/>
    <n v="1.73"/>
    <n v="1.76"/>
    <n v="1.82"/>
    <n v="1.58"/>
    <s v="2.91B"/>
    <n v="-1.7000000000000001E-2"/>
    <n v="0.11560693641618494"/>
  </r>
  <r>
    <x v="1"/>
    <x v="17"/>
    <n v="1.93"/>
    <n v="1.73"/>
    <n v="1.94"/>
    <n v="1.62"/>
    <s v="2.30B"/>
    <n v="0.11559999999999999"/>
    <n v="-0.30569948186528489"/>
  </r>
  <r>
    <x v="1"/>
    <x v="18"/>
    <n v="1.34"/>
    <n v="1.93"/>
    <n v="1.93"/>
    <n v="1.3"/>
    <s v="4.59B"/>
    <n v="-0.30570000000000003"/>
    <n v="0.14925373134328354"/>
  </r>
  <r>
    <x v="1"/>
    <x v="19"/>
    <n v="1.54"/>
    <n v="1.33"/>
    <n v="1.55"/>
    <n v="1.29"/>
    <s v="3.19B"/>
    <n v="0.14929999999999999"/>
    <n v="4.5454545454545491E-2"/>
  </r>
  <r>
    <x v="1"/>
    <x v="20"/>
    <n v="1.61"/>
    <n v="1.54"/>
    <n v="1.64"/>
    <n v="1.48"/>
    <s v="2.92B"/>
    <n v="4.5499999999999999E-2"/>
    <n v="0.18012422360248434"/>
  </r>
  <r>
    <x v="1"/>
    <x v="21"/>
    <n v="1.9"/>
    <n v="1.6"/>
    <n v="1.93"/>
    <n v="1.53"/>
    <s v="4.13B"/>
    <n v="0.18010000000000001"/>
    <n v="6.3157894736842163E-2"/>
  </r>
  <r>
    <x v="1"/>
    <x v="22"/>
    <n v="2.02"/>
    <n v="1.91"/>
    <n v="2.16"/>
    <n v="1.84"/>
    <s v="2.94B"/>
    <n v="6.3200000000000006E-2"/>
    <n v="-2.4752475247524774E-2"/>
  </r>
  <r>
    <x v="1"/>
    <x v="23"/>
    <n v="1.97"/>
    <n v="2.0099999999999998"/>
    <n v="2.0299999999999998"/>
    <n v="1.89"/>
    <s v="2.43B"/>
    <n v="-2.4799999999999999E-2"/>
    <n v="-4.5685279187817299E-2"/>
  </r>
  <r>
    <x v="1"/>
    <x v="24"/>
    <n v="1.88"/>
    <n v="1.93"/>
    <n v="1.96"/>
    <n v="1.81"/>
    <s v="2.61B"/>
    <n v="-4.5699999999999998E-2"/>
    <n v="4.2553191489361743E-2"/>
  </r>
  <r>
    <x v="1"/>
    <x v="25"/>
    <n v="1.96"/>
    <n v="1.9"/>
    <n v="2.1"/>
    <n v="1.83"/>
    <s v="3.18B"/>
    <n v="4.2599999999999999E-2"/>
    <n v="1.5306122448979605E-2"/>
  </r>
  <r>
    <x v="1"/>
    <x v="26"/>
    <n v="1.99"/>
    <n v="1.97"/>
    <n v="2.0099999999999998"/>
    <n v="1.85"/>
    <s v="2.85B"/>
    <n v="1.5299999999999999E-2"/>
    <n v="0.54271356783919589"/>
  </r>
  <r>
    <x v="1"/>
    <x v="27"/>
    <n v="3.07"/>
    <n v="1.99"/>
    <n v="3.19"/>
    <n v="1.98"/>
    <s v="6.98B"/>
    <n v="0.54269999999999996"/>
    <n v="0.12703583061889256"/>
  </r>
  <r>
    <x v="1"/>
    <x v="28"/>
    <n v="3.46"/>
    <n v="3.06"/>
    <n v="3.67"/>
    <n v="2.98"/>
    <s v="6.61B"/>
    <n v="0.127"/>
    <n v="-1.1560693641618507E-2"/>
  </r>
  <r>
    <x v="1"/>
    <x v="29"/>
    <n v="3.42"/>
    <n v="3.44"/>
    <n v="3.74"/>
    <n v="3.34"/>
    <s v="4.79B"/>
    <n v="-1.1599999999999999E-2"/>
    <n v="0.14912280701754393"/>
  </r>
  <r>
    <x v="1"/>
    <x v="30"/>
    <n v="3.93"/>
    <n v="3.44"/>
    <n v="4.45"/>
    <n v="3.4"/>
    <s v="5.32B"/>
    <n v="0.14910000000000001"/>
    <n v="1.7811704834605556E-2"/>
  </r>
  <r>
    <x v="1"/>
    <x v="31"/>
    <n v="4"/>
    <n v="3.9"/>
    <n v="4.04"/>
    <n v="3.5"/>
    <s v="3.51B"/>
    <n v="1.78E-2"/>
    <n v="0.16500000000000004"/>
  </r>
  <r>
    <x v="1"/>
    <x v="32"/>
    <n v="4.66"/>
    <n v="4"/>
    <n v="4.71"/>
    <n v="3.99"/>
    <s v="2.45B"/>
    <n v="0.16500000000000001"/>
    <n v="-4.2918454935622352E-2"/>
  </r>
  <r>
    <x v="1"/>
    <x v="33"/>
    <n v="4.46"/>
    <n v="4.67"/>
    <n v="5.05"/>
    <n v="4.16"/>
    <s v="4.64B"/>
    <n v="-4.2900000000000001E-2"/>
    <n v="1.5695067264574054E-2"/>
  </r>
  <r>
    <x v="1"/>
    <x v="34"/>
    <n v="4.53"/>
    <n v="4.3899999999999997"/>
    <n v="4.57"/>
    <n v="3.83"/>
    <s v="3.60B"/>
    <n v="1.5699999999999999E-2"/>
    <n v="2.2075055187637891E-2"/>
  </r>
  <r>
    <x v="1"/>
    <x v="35"/>
    <n v="4.63"/>
    <n v="4.5"/>
    <n v="4.8"/>
    <n v="4.1900000000000004"/>
    <s v="2.54B"/>
    <n v="2.2100000000000002E-2"/>
    <n v="-0.16198704103671707"/>
  </r>
  <r>
    <x v="1"/>
    <x v="36"/>
    <n v="3.88"/>
    <n v="4.7699999999999996"/>
    <n v="4.87"/>
    <n v="3.44"/>
    <s v="5.77B"/>
    <n v="-0.16200000000000001"/>
    <n v="-0.17010309278350508"/>
  </r>
  <r>
    <x v="1"/>
    <x v="37"/>
    <n v="3.22"/>
    <n v="3.95"/>
    <n v="3.97"/>
    <n v="3.2"/>
    <s v="4.23B"/>
    <n v="-0.1701"/>
    <n v="0.10559006211180119"/>
  </r>
  <r>
    <x v="1"/>
    <x v="38"/>
    <n v="3.56"/>
    <n v="3.18"/>
    <n v="3.85"/>
    <n v="3.06"/>
    <s v="3.85B"/>
    <n v="0.1056"/>
    <n v="0.10393258426966295"/>
  </r>
  <r>
    <x v="1"/>
    <x v="39"/>
    <n v="3.93"/>
    <n v="3.65"/>
    <n v="4.13"/>
    <n v="3.53"/>
    <s v="3.96B"/>
    <n v="0.10390000000000001"/>
    <n v="3.8167938931297683E-2"/>
  </r>
  <r>
    <x v="1"/>
    <x v="40"/>
    <n v="4.08"/>
    <n v="3.92"/>
    <n v="4.24"/>
    <n v="3.58"/>
    <s v="3.05B"/>
    <n v="3.8199999999999998E-2"/>
    <n v="-0.1004901960784314"/>
  </r>
  <r>
    <x v="1"/>
    <x v="41"/>
    <n v="3.67"/>
    <n v="4.0599999999999996"/>
    <n v="4.24"/>
    <n v="3.63"/>
    <s v="3.07B"/>
    <n v="-0.10050000000000001"/>
    <n v="4.0871934604904611E-2"/>
  </r>
  <r>
    <x v="1"/>
    <x v="42"/>
    <n v="3.82"/>
    <n v="3.61"/>
    <n v="4.12"/>
    <n v="3.15"/>
    <s v="4.32B"/>
    <n v="4.0899999999999999E-2"/>
    <n v="5.7591623036649268E-2"/>
  </r>
  <r>
    <x v="1"/>
    <x v="43"/>
    <n v="4.04"/>
    <n v="3.82"/>
    <n v="4.59"/>
    <n v="3.7"/>
    <s v="2.98B"/>
    <n v="5.7599999999999998E-2"/>
    <n v="-9.9009900990098987E-2"/>
  </r>
  <r>
    <x v="1"/>
    <x v="44"/>
    <n v="3.64"/>
    <n v="4.16"/>
    <n v="4.34"/>
    <n v="3.07"/>
    <s v="3.85B"/>
    <n v="-9.9000000000000005E-2"/>
    <n v="-0.21428571428571436"/>
  </r>
  <r>
    <x v="1"/>
    <x v="45"/>
    <n v="2.86"/>
    <n v="3.59"/>
    <n v="3.6"/>
    <n v="2.17"/>
    <s v="6.64B"/>
    <n v="-0.21429999999999999"/>
    <n v="-0.25524475524475526"/>
  </r>
  <r>
    <x v="1"/>
    <x v="46"/>
    <n v="2.13"/>
    <n v="2.82"/>
    <n v="2.94"/>
    <n v="1.73"/>
    <s v="4.57B"/>
    <n v="-0.25519999999999998"/>
    <n v="0.20187793427230055"/>
  </r>
  <r>
    <x v="1"/>
    <x v="47"/>
    <n v="2.56"/>
    <n v="2.1"/>
    <n v="2.74"/>
    <n v="1.94"/>
    <s v="4.13B"/>
    <n v="0.2019"/>
    <n v="0.14843749999999994"/>
  </r>
  <r>
    <x v="1"/>
    <x v="48"/>
    <n v="2.94"/>
    <n v="2.57"/>
    <n v="2.99"/>
    <n v="2.38"/>
    <s v="4.09B"/>
    <n v="0.1484"/>
    <n v="0.10204081632653071"/>
  </r>
  <r>
    <x v="1"/>
    <x v="49"/>
    <n v="3.24"/>
    <n v="2.93"/>
    <n v="3.37"/>
    <n v="2.91"/>
    <s v="3.74B"/>
    <n v="0.10199999999999999"/>
    <n v="0.13271604938271594"/>
  </r>
  <r>
    <x v="1"/>
    <x v="50"/>
    <n v="3.67"/>
    <n v="3.2"/>
    <n v="3.78"/>
    <n v="2.99"/>
    <s v="4.55B"/>
    <n v="0.13270000000000001"/>
    <n v="9.8092643051771206E-2"/>
  </r>
  <r>
    <x v="1"/>
    <x v="51"/>
    <n v="4.03"/>
    <n v="3.65"/>
    <n v="4.33"/>
    <n v="3.59"/>
    <s v="3.70B"/>
    <n v="9.8100000000000007E-2"/>
    <n v="-3.2258064516129115E-2"/>
  </r>
  <r>
    <x v="1"/>
    <x v="52"/>
    <n v="3.9"/>
    <n v="4.0199999999999996"/>
    <n v="4.18"/>
    <n v="3.65"/>
    <s v="2.75B"/>
    <n v="-3.2300000000000002E-2"/>
    <n v="7.1794871794871748E-2"/>
  </r>
  <r>
    <x v="1"/>
    <x v="53"/>
    <n v="4.18"/>
    <n v="3.91"/>
    <n v="4.43"/>
    <n v="3.81"/>
    <s v="3.04B"/>
    <n v="7.1800000000000003E-2"/>
    <n v="2.6315789473684289E-2"/>
  </r>
  <r>
    <x v="1"/>
    <x v="54"/>
    <n v="4.29"/>
    <n v="4.22"/>
    <n v="4.72"/>
    <n v="3.77"/>
    <s v="3.51B"/>
    <n v="2.63E-2"/>
    <n v="-5.3613053613053713E-2"/>
  </r>
  <r>
    <x v="1"/>
    <x v="55"/>
    <n v="4.0599999999999996"/>
    <n v="4.33"/>
    <n v="4.41"/>
    <n v="4.01"/>
    <s v="2.25B"/>
    <n v="-5.3600000000000002E-2"/>
    <n v="0.15024630541871931"/>
  </r>
  <r>
    <x v="1"/>
    <x v="56"/>
    <n v="4.67"/>
    <n v="4.04"/>
    <n v="4.72"/>
    <n v="3.88"/>
    <s v="2.56B"/>
    <n v="0.1502"/>
    <n v="0.27194860813704508"/>
  </r>
  <r>
    <x v="1"/>
    <x v="57"/>
    <n v="5.94"/>
    <n v="4.62"/>
    <n v="6.28"/>
    <n v="4.41"/>
    <s v="5.37B"/>
    <n v="0.27189999999999998"/>
    <n v="0.14478114478114468"/>
  </r>
  <r>
    <x v="1"/>
    <x v="58"/>
    <n v="6.8"/>
    <n v="5.93"/>
    <n v="6.8"/>
    <n v="5.81"/>
    <s v="3.21B"/>
    <n v="0.14480000000000001"/>
    <n v="-1.0294117647058735E-2"/>
  </r>
  <r>
    <x v="1"/>
    <x v="59"/>
    <n v="6.73"/>
    <n v="6.85"/>
    <n v="7.3"/>
    <n v="6.28"/>
    <s v="4.15B"/>
    <n v="-1.03E-2"/>
    <n v="-6.8350668647845586E-2"/>
  </r>
  <r>
    <x v="1"/>
    <x v="60"/>
    <n v="6.27"/>
    <n v="6.81"/>
    <n v="6.83"/>
    <n v="5.91"/>
    <s v="4.62B"/>
    <n v="-6.8400000000000002E-2"/>
    <n v="-5.5821371610845244E-2"/>
  </r>
  <r>
    <x v="1"/>
    <x v="61"/>
    <n v="5.92"/>
    <n v="6.16"/>
    <n v="6.24"/>
    <n v="5.69"/>
    <s v="4.20B"/>
    <n v="-5.5800000000000002E-2"/>
    <n v="0.14695945945945948"/>
  </r>
  <r>
    <x v="1"/>
    <x v="62"/>
    <n v="6.79"/>
    <n v="5.94"/>
    <n v="6.91"/>
    <n v="5.88"/>
    <s v="3.16B"/>
    <n v="0.14699999999999999"/>
    <n v="1.0309278350515505E-2"/>
  </r>
  <r>
    <x v="1"/>
    <x v="63"/>
    <n v="6.86"/>
    <n v="6.79"/>
    <n v="7.55"/>
    <n v="6.54"/>
    <s v="3.46B"/>
    <n v="1.03E-2"/>
    <n v="-8.6005830903790187E-2"/>
  </r>
  <r>
    <x v="1"/>
    <x v="64"/>
    <n v="6.27"/>
    <n v="6.86"/>
    <n v="6.97"/>
    <n v="5.88"/>
    <s v="2.82B"/>
    <n v="-8.5999999999999993E-2"/>
    <n v="-0.12918660287081335"/>
  </r>
  <r>
    <x v="1"/>
    <x v="65"/>
    <n v="5.46"/>
    <n v="6.25"/>
    <n v="6.46"/>
    <n v="5.3"/>
    <s v="2.67B"/>
    <n v="-0.12920000000000001"/>
    <n v="7.8754578754578697E-2"/>
  </r>
  <r>
    <x v="1"/>
    <x v="66"/>
    <n v="5.89"/>
    <n v="5.45"/>
    <n v="6.24"/>
    <n v="5.29"/>
    <s v="3.51B"/>
    <n v="7.8799999999999995E-2"/>
    <n v="5.9422750424448313E-2"/>
  </r>
  <r>
    <x v="1"/>
    <x v="67"/>
    <n v="6.24"/>
    <n v="5.96"/>
    <n v="6.54"/>
    <n v="5.88"/>
    <s v="2.27B"/>
    <n v="5.9400000000000001E-2"/>
    <n v="0.25801282051282043"/>
  </r>
  <r>
    <x v="1"/>
    <x v="68"/>
    <n v="7.85"/>
    <n v="6.32"/>
    <n v="8.09"/>
    <n v="6.31"/>
    <s v="2.69B"/>
    <n v="0.25800000000000001"/>
    <n v="5.2229299363057348E-2"/>
  </r>
  <r>
    <x v="1"/>
    <x v="69"/>
    <n v="8.26"/>
    <n v="7.85"/>
    <n v="8.6"/>
    <n v="7.57"/>
    <s v="2.86B"/>
    <n v="5.2200000000000003E-2"/>
    <n v="6.1743341404358332E-2"/>
  </r>
  <r>
    <x v="1"/>
    <x v="70"/>
    <n v="8.77"/>
    <n v="8.2200000000000006"/>
    <n v="9.09"/>
    <n v="7.84"/>
    <s v="2.62B"/>
    <n v="6.1699999999999998E-2"/>
    <n v="2.6225769669327301E-2"/>
  </r>
  <r>
    <x v="1"/>
    <x v="71"/>
    <n v="9"/>
    <n v="8.9600000000000009"/>
    <n v="9.2799999999999994"/>
    <n v="8.65"/>
    <s v="1.87B"/>
    <n v="2.6200000000000001E-2"/>
    <n v="-5.7777777777777733E-2"/>
  </r>
  <r>
    <x v="1"/>
    <x v="72"/>
    <n v="8.48"/>
    <n v="9.07"/>
    <n v="9.58"/>
    <n v="8.35"/>
    <s v="2.27B"/>
    <n v="-5.7799999999999997E-2"/>
    <n v="2.1226415094339587E-2"/>
  </r>
  <r>
    <x v="1"/>
    <x v="73"/>
    <n v="8.66"/>
    <n v="8.5299999999999994"/>
    <n v="9.57"/>
    <n v="8.48"/>
    <s v="1.92B"/>
    <n v="2.12E-2"/>
    <n v="4.041570438799072E-2"/>
  </r>
  <r>
    <x v="1"/>
    <x v="74"/>
    <n v="9.01"/>
    <n v="8.68"/>
    <n v="9.08"/>
    <n v="8.0299999999999994"/>
    <s v="2.38B"/>
    <n v="4.0399999999999998E-2"/>
    <n v="8.6570477247502706E-2"/>
  </r>
  <r>
    <x v="1"/>
    <x v="75"/>
    <n v="9.7899999999999991"/>
    <n v="9.08"/>
    <n v="9.89"/>
    <n v="8.77"/>
    <s v="2.34B"/>
    <n v="8.6599999999999996E-2"/>
    <n v="4.085801838610922E-3"/>
  </r>
  <r>
    <x v="1"/>
    <x v="76"/>
    <n v="9.83"/>
    <n v="9.83"/>
    <n v="10.32"/>
    <n v="9.5399999999999991"/>
    <s v="2.13B"/>
    <n v="4.1000000000000003E-3"/>
    <n v="3.9674465920651124E-2"/>
  </r>
  <r>
    <x v="1"/>
    <x v="77"/>
    <n v="10.220000000000001"/>
    <n v="9.8000000000000007"/>
    <n v="10.31"/>
    <n v="9.08"/>
    <s v="1.91B"/>
    <n v="3.9699999999999999E-2"/>
    <n v="8.9041095890410968E-2"/>
  </r>
  <r>
    <x v="1"/>
    <x v="78"/>
    <n v="11.13"/>
    <n v="10.28"/>
    <n v="11.36"/>
    <n v="10.18"/>
    <s v="1.86B"/>
    <n v="8.8999999999999996E-2"/>
    <n v="-3.324348607367484E-2"/>
  </r>
  <r>
    <x v="1"/>
    <x v="79"/>
    <n v="10.76"/>
    <n v="11.25"/>
    <n v="11.37"/>
    <n v="8.86"/>
    <s v="3.11B"/>
    <n v="-3.32E-2"/>
    <n v="4.6468401486989509E-3"/>
  </r>
  <r>
    <x v="1"/>
    <x v="80"/>
    <n v="10.81"/>
    <n v="10.76"/>
    <n v="12.2"/>
    <n v="10.220000000000001"/>
    <s v="2.87B"/>
    <n v="4.5999999999999999E-3"/>
    <n v="-1.2025901942645771E-2"/>
  </r>
  <r>
    <x v="1"/>
    <x v="81"/>
    <n v="10.68"/>
    <n v="10.85"/>
    <n v="12.34"/>
    <n v="9.83"/>
    <s v="3.19B"/>
    <n v="-1.2E-2"/>
    <n v="-0.10018726591760302"/>
  </r>
  <r>
    <x v="1"/>
    <x v="82"/>
    <n v="9.61"/>
    <n v="10.41"/>
    <n v="11.12"/>
    <n v="9.08"/>
    <s v="2.73B"/>
    <n v="-0.1002"/>
    <n v="-9.9895941727367238E-2"/>
  </r>
  <r>
    <x v="1"/>
    <x v="83"/>
    <n v="8.65"/>
    <n v="9.59"/>
    <n v="9.98"/>
    <n v="8.35"/>
    <s v="2.51B"/>
    <n v="-9.9900000000000003E-2"/>
    <n v="0.12369942196531794"/>
  </r>
  <r>
    <x v="1"/>
    <x v="84"/>
    <n v="9.7200000000000006"/>
    <n v="8.7899999999999991"/>
    <n v="9.82"/>
    <n v="8.68"/>
    <s v="2.21B"/>
    <n v="0.1237"/>
    <n v="-7.6131687242798368E-2"/>
  </r>
  <r>
    <x v="1"/>
    <x v="85"/>
    <n v="8.98"/>
    <n v="8.69"/>
    <n v="9.68"/>
    <n v="8.6"/>
    <s v="2.93B"/>
    <n v="-7.6100000000000001E-2"/>
    <n v="0.12806236080178177"/>
  </r>
  <r>
    <x v="1"/>
    <x v="86"/>
    <n v="10.130000000000001"/>
    <n v="8.99"/>
    <n v="10.49"/>
    <n v="8.83"/>
    <s v="2.26B"/>
    <n v="0.12809999999999999"/>
    <n v="0.14511352418558723"/>
  </r>
  <r>
    <x v="1"/>
    <x v="87"/>
    <n v="11.6"/>
    <n v="9.9"/>
    <n v="11.69"/>
    <n v="9.18"/>
    <s v="2.21B"/>
    <n v="0.14510000000000001"/>
    <n v="-8.1896551724137873E-2"/>
  </r>
  <r>
    <x v="1"/>
    <x v="88"/>
    <n v="10.65"/>
    <n v="11.47"/>
    <n v="11.65"/>
    <n v="10.36"/>
    <s v="1.86B"/>
    <n v="-8.1900000000000001E-2"/>
    <n v="7.2300469483568039E-2"/>
  </r>
  <r>
    <x v="1"/>
    <x v="89"/>
    <n v="11.42"/>
    <n v="10.42"/>
    <n v="11.42"/>
    <n v="10.32"/>
    <s v="1.32B"/>
    <n v="7.2300000000000003E-2"/>
    <n v="2.1015761821366042E-2"/>
  </r>
  <r>
    <x v="1"/>
    <x v="90"/>
    <n v="11.66"/>
    <n v="11.46"/>
    <n v="12.04"/>
    <n v="10.63"/>
    <s v="1.55B"/>
    <n v="2.1000000000000001E-2"/>
    <n v="6.4322469982847338E-2"/>
  </r>
  <r>
    <x v="1"/>
    <x v="91"/>
    <n v="12.41"/>
    <n v="11.71"/>
    <n v="12.5"/>
    <n v="11.43"/>
    <s v="1.20B"/>
    <n v="6.4299999999999996E-2"/>
    <n v="2.4979854955680943E-2"/>
  </r>
  <r>
    <x v="1"/>
    <x v="92"/>
    <n v="12.72"/>
    <n v="12.41"/>
    <n v="13.21"/>
    <n v="12.23"/>
    <s v="1.27B"/>
    <n v="2.5000000000000001E-2"/>
    <n v="-8.4905660377358486E-2"/>
  </r>
  <r>
    <x v="1"/>
    <x v="93"/>
    <n v="11.64"/>
    <n v="12.77"/>
    <n v="13.1"/>
    <n v="11.15"/>
    <s v="1.63B"/>
    <n v="-8.4900000000000003E-2"/>
    <n v="8.2474226804123626E-2"/>
  </r>
  <r>
    <x v="1"/>
    <x v="94"/>
    <n v="12.6"/>
    <n v="11.71"/>
    <n v="12.63"/>
    <n v="10.91"/>
    <s v="1.34B"/>
    <n v="8.2500000000000004E-2"/>
    <n v="-4.7619047619048014E-3"/>
  </r>
  <r>
    <x v="1"/>
    <x v="95"/>
    <n v="12.54"/>
    <n v="12.63"/>
    <n v="13.16"/>
    <n v="12.14"/>
    <s v="1.22B"/>
    <n v="-4.7999999999999996E-3"/>
    <n v="5.9011164274322188E-2"/>
  </r>
  <r>
    <x v="1"/>
    <x v="96"/>
    <n v="13.28"/>
    <n v="12.8"/>
    <n v="14.24"/>
    <n v="12.66"/>
    <s v="1.69B"/>
    <n v="5.8999999999999997E-2"/>
    <n v="-5.2710843373492853E-3"/>
  </r>
  <r>
    <x v="1"/>
    <x v="97"/>
    <n v="13.21"/>
    <n v="13.45"/>
    <n v="13.71"/>
    <n v="12.76"/>
    <s v="1.37B"/>
    <n v="-5.3E-3"/>
    <n v="8.327024981074899E-3"/>
  </r>
  <r>
    <x v="1"/>
    <x v="98"/>
    <n v="13.32"/>
    <n v="13.16"/>
    <n v="13.87"/>
    <n v="12.6"/>
    <s v="1.17B"/>
    <n v="8.3000000000000001E-3"/>
    <n v="-4.7297297297297355E-2"/>
  </r>
  <r>
    <x v="1"/>
    <x v="99"/>
    <n v="12.69"/>
    <n v="13.35"/>
    <n v="13.79"/>
    <n v="12.43"/>
    <s v="1.54B"/>
    <n v="-4.7300000000000002E-2"/>
    <n v="6.0677698975571424E-2"/>
  </r>
  <r>
    <x v="1"/>
    <x v="100"/>
    <n v="13.46"/>
    <n v="12.7"/>
    <n v="13.6"/>
    <n v="12.29"/>
    <s v="1.18B"/>
    <n v="6.0699999999999997E-2"/>
    <n v="3.120356612184249E-2"/>
  </r>
  <r>
    <x v="1"/>
    <x v="101"/>
    <n v="13.88"/>
    <n v="13.45"/>
    <n v="14.17"/>
    <n v="13.15"/>
    <s v="1.17B"/>
    <n v="3.1199999999999999E-2"/>
    <n v="8.5014409221901996E-2"/>
  </r>
  <r>
    <x v="1"/>
    <x v="102"/>
    <n v="15.06"/>
    <n v="13.95"/>
    <n v="15.68"/>
    <n v="13.86"/>
    <s v="1.35B"/>
    <n v="8.5000000000000006E-2"/>
    <n v="-6.7065073041168641E-2"/>
  </r>
  <r>
    <x v="1"/>
    <x v="103"/>
    <n v="14.05"/>
    <n v="15.15"/>
    <n v="15.31"/>
    <n v="13.97"/>
    <s v="876.17M"/>
    <n v="-6.7100000000000007E-2"/>
    <n v="0.11245551601423487"/>
  </r>
  <r>
    <x v="1"/>
    <x v="104"/>
    <n v="15.63"/>
    <n v="14.24"/>
    <n v="16.03"/>
    <n v="14.21"/>
    <s v="870.10M"/>
    <n v="0.1125"/>
    <n v="0.16442738323736394"/>
  </r>
  <r>
    <x v="1"/>
    <x v="105"/>
    <n v="18.2"/>
    <n v="15.71"/>
    <n v="18.420000000000002"/>
    <n v="14.83"/>
    <s v="1.55B"/>
    <n v="0.16439999999999999"/>
    <n v="8.1318681318681349E-2"/>
  </r>
  <r>
    <x v="1"/>
    <x v="106"/>
    <n v="19.68"/>
    <n v="18.28"/>
    <n v="19.7"/>
    <n v="17.09"/>
    <s v="1.08B"/>
    <n v="8.1299999999999997E-2"/>
    <n v="1.3211382113821217E-2"/>
  </r>
  <r>
    <x v="1"/>
    <x v="107"/>
    <n v="19.940000000000001"/>
    <n v="19.95"/>
    <n v="20.28"/>
    <n v="18.98"/>
    <s v="1.11B"/>
    <n v="1.32E-2"/>
    <n v="-0.10080240722166507"/>
  </r>
  <r>
    <x v="1"/>
    <x v="108"/>
    <n v="17.93"/>
    <n v="19.940000000000001"/>
    <n v="20.399999999999999"/>
    <n v="17.89"/>
    <s v="1.63B"/>
    <n v="-0.1008"/>
    <n v="1.0039040713887323E-2"/>
  </r>
  <r>
    <x v="1"/>
    <x v="109"/>
    <n v="18.11"/>
    <n v="17.95"/>
    <n v="18.29"/>
    <n v="16.89"/>
    <s v="1.66B"/>
    <n v="0.01"/>
    <n v="-7.1231363887355001E-2"/>
  </r>
  <r>
    <x v="1"/>
    <x v="110"/>
    <n v="16.82"/>
    <n v="17.940000000000001"/>
    <n v="19.16"/>
    <n v="16.54"/>
    <s v="1.51B"/>
    <n v="-7.1199999999999999E-2"/>
    <n v="-9.5719381688466082E-2"/>
  </r>
  <r>
    <x v="1"/>
    <x v="111"/>
    <n v="15.21"/>
    <n v="16.899999999999999"/>
    <n v="17.41"/>
    <n v="14.4"/>
    <s v="2.77B"/>
    <n v="-9.5699999999999993E-2"/>
    <n v="2.7613412228796839E-2"/>
  </r>
  <r>
    <x v="1"/>
    <x v="112"/>
    <n v="15.63"/>
    <n v="15.21"/>
    <n v="15.74"/>
    <n v="14.22"/>
    <s v="1.57B"/>
    <n v="2.7400000000000001E-2"/>
    <n v="3.9027511196416995E-2"/>
  </r>
  <r>
    <x v="1"/>
    <x v="113"/>
    <n v="16.239999999999998"/>
    <n v="15.63"/>
    <n v="17.04"/>
    <n v="15.19"/>
    <s v="1.53B"/>
    <n v="3.9100000000000003E-2"/>
    <n v="-3.633004926108363E-2"/>
  </r>
  <r>
    <x v="1"/>
    <x v="114"/>
    <n v="15.65"/>
    <n v="16.29"/>
    <n v="18.239999999999998"/>
    <n v="15.59"/>
    <s v="1.99B"/>
    <n v="-3.6299999999999999E-2"/>
    <n v="8.3067092651757116E-2"/>
  </r>
  <r>
    <x v="1"/>
    <x v="115"/>
    <n v="16.95"/>
    <n v="15.68"/>
    <n v="17.329999999999998"/>
    <n v="15.23"/>
    <s v="1.24B"/>
    <n v="8.3199999999999996E-2"/>
    <n v="-4.8967551622418781E-2"/>
  </r>
  <r>
    <x v="1"/>
    <x v="116"/>
    <n v="16.12"/>
    <n v="17"/>
    <n v="17.47"/>
    <n v="15.88"/>
    <s v="1.36B"/>
    <n v="-4.9000000000000002E-2"/>
    <n v="-5.2729528535980237E-2"/>
  </r>
  <r>
    <x v="1"/>
    <x v="117"/>
    <n v="15.27"/>
    <n v="16.100000000000001"/>
    <n v="16.260000000000002"/>
    <n v="14.2"/>
    <s v="2.22B"/>
    <n v="-5.2699999999999997E-2"/>
    <n v="0.10870988867059596"/>
  </r>
  <r>
    <x v="1"/>
    <x v="118"/>
    <n v="16.93"/>
    <n v="15.31"/>
    <n v="17.059999999999999"/>
    <n v="14.61"/>
    <s v="1.38B"/>
    <n v="0.1086"/>
    <n v="-8.3284111045481404E-2"/>
  </r>
  <r>
    <x v="1"/>
    <x v="119"/>
    <n v="15.52"/>
    <n v="16.91"/>
    <n v="17.03"/>
    <n v="14.65"/>
    <s v="1.74B"/>
    <n v="-8.3500000000000005E-2"/>
    <n v="0.14239690721649489"/>
  </r>
  <r>
    <x v="1"/>
    <x v="120"/>
    <n v="17.73"/>
    <n v="15.63"/>
    <n v="17.98"/>
    <n v="14.26"/>
    <s v="2.06B"/>
    <n v="0.1424"/>
    <n v="7.2194021432600175E-2"/>
  </r>
  <r>
    <x v="1"/>
    <x v="121"/>
    <n v="19.010000000000002"/>
    <n v="17.5"/>
    <n v="19.47"/>
    <n v="17.5"/>
    <s v="1.42B"/>
    <n v="7.2300000000000003E-2"/>
    <n v="-2.1567596002104162E-2"/>
  </r>
  <r>
    <x v="1"/>
    <x v="122"/>
    <n v="18.600000000000001"/>
    <n v="19.04"/>
    <n v="19.420000000000002"/>
    <n v="18.28"/>
    <s v="1.11B"/>
    <n v="-2.12E-2"/>
    <n v="0.13387096774193538"/>
  </r>
  <r>
    <x v="1"/>
    <x v="123"/>
    <n v="21.09"/>
    <n v="18.600000000000001"/>
    <n v="22.63"/>
    <n v="18.420000000000002"/>
    <s v="1.69B"/>
    <n v="0.13350000000000001"/>
    <n v="1.7543859649122855E-2"/>
  </r>
  <r>
    <x v="1"/>
    <x v="124"/>
    <n v="21.46"/>
    <n v="21.19"/>
    <n v="21.95"/>
    <n v="20.73"/>
    <s v="1.04B"/>
    <n v="1.77E-2"/>
    <n v="1.1183597390493868E-2"/>
  </r>
  <r>
    <x v="1"/>
    <x v="125"/>
    <n v="21.7"/>
    <n v="21.52"/>
    <n v="22.35"/>
    <n v="20.96"/>
    <s v="1.10B"/>
    <n v="1.1299999999999999E-2"/>
    <n v="0.23548387096774193"/>
  </r>
  <r>
    <x v="1"/>
    <x v="126"/>
    <n v="26.81"/>
    <n v="21.97"/>
    <n v="29.03"/>
    <n v="21.28"/>
    <s v="2.04B"/>
    <n v="0.2351"/>
    <n v="-4.3640432674375167E-2"/>
  </r>
  <r>
    <x v="1"/>
    <x v="127"/>
    <n v="25.64"/>
    <n v="26.87"/>
    <n v="27.14"/>
    <n v="22.55"/>
    <s v="1.66B"/>
    <n v="-4.3400000000000001E-2"/>
    <n v="-1.9500780031201524E-3"/>
  </r>
  <r>
    <x v="1"/>
    <x v="128"/>
    <n v="25.59"/>
    <n v="24.96"/>
    <n v="27.49"/>
    <n v="24.52"/>
    <s v="1.54B"/>
    <n v="-1.9E-3"/>
    <n v="0.22313403673309889"/>
  </r>
  <r>
    <x v="1"/>
    <x v="129"/>
    <n v="31.3"/>
    <n v="25.55"/>
    <n v="31.54"/>
    <n v="25.3"/>
    <s v="1.94B"/>
    <n v="0.22270000000000001"/>
    <n v="6.1980830670926558E-2"/>
  </r>
  <r>
    <x v="1"/>
    <x v="130"/>
    <n v="33.24"/>
    <n v="31.36"/>
    <n v="34.14"/>
    <n v="31.02"/>
    <s v="1.75B"/>
    <n v="6.2199999999999998E-2"/>
    <n v="1.6546329723224944E-2"/>
  </r>
  <r>
    <x v="1"/>
    <x v="131"/>
    <n v="33.79"/>
    <n v="33.69"/>
    <n v="34.82"/>
    <n v="31.76"/>
    <s v="1.80B"/>
    <n v="1.67E-2"/>
    <n v="-0.13139982243267231"/>
  </r>
  <r>
    <x v="1"/>
    <x v="132"/>
    <n v="29.35"/>
    <n v="32.81"/>
    <n v="32.89"/>
    <n v="27.36"/>
    <s v="2.60B"/>
    <n v="-0.13150000000000001"/>
    <n v="-5.860306643952308E-2"/>
  </r>
  <r>
    <x v="1"/>
    <x v="133"/>
    <n v="27.63"/>
    <n v="28.91"/>
    <n v="29.09"/>
    <n v="23.7"/>
    <s v="2.48B"/>
    <n v="-5.8700000000000002E-2"/>
    <n v="7.4194715888526996E-2"/>
  </r>
  <r>
    <x v="1"/>
    <x v="134"/>
    <n v="29.68"/>
    <n v="27.81"/>
    <n v="30.16"/>
    <n v="26.93"/>
    <s v="1.88B"/>
    <n v="7.4399999999999994E-2"/>
    <n v="0.11118598382749317"/>
  </r>
  <r>
    <x v="1"/>
    <x v="135"/>
    <n v="32.979999999999997"/>
    <n v="29.52"/>
    <n v="33.5"/>
    <n v="29.26"/>
    <s v="1.57B"/>
    <n v="0.1111"/>
    <n v="9.581564584596737E-2"/>
  </r>
  <r>
    <x v="1"/>
    <x v="136"/>
    <n v="36.14"/>
    <n v="33.200000000000003"/>
    <n v="36.21"/>
    <n v="32.799999999999997"/>
    <s v="1.81B"/>
    <n v="9.5799999999999996E-2"/>
    <n v="-9.9612617598228946E-3"/>
  </r>
  <r>
    <x v="1"/>
    <x v="137"/>
    <n v="35.78"/>
    <n v="36.04"/>
    <n v="36.58"/>
    <n v="34.11"/>
    <s v="1.49B"/>
    <n v="-9.9000000000000008E-3"/>
    <n v="6.0368921185019464E-2"/>
  </r>
  <r>
    <x v="1"/>
    <x v="138"/>
    <n v="37.94"/>
    <n v="35.869999999999997"/>
    <n v="38.299999999999997"/>
    <n v="35.83"/>
    <s v="1.37B"/>
    <n v="6.0400000000000002E-2"/>
    <n v="1.3705851344227811E-2"/>
  </r>
  <r>
    <x v="1"/>
    <x v="139"/>
    <n v="38.46"/>
    <n v="37.99"/>
    <n v="38.75"/>
    <n v="37.520000000000003"/>
    <s v="1.00B"/>
    <n v="1.3599999999999999E-2"/>
    <n v="8.8663546541861579E-2"/>
  </r>
  <r>
    <x v="1"/>
    <x v="140"/>
    <n v="41.87"/>
    <n v="38.54"/>
    <n v="42"/>
    <n v="37.799999999999997"/>
    <s v="1.35B"/>
    <n v="8.8599999999999998E-2"/>
    <n v="-5.6842608072605577E-2"/>
  </r>
  <r>
    <x v="1"/>
    <x v="141"/>
    <n v="39.49"/>
    <n v="41.8"/>
    <n v="42.36"/>
    <n v="38.729999999999997"/>
    <s v="1.54B"/>
    <n v="-5.67E-2"/>
    <n v="-4.9632818435046869E-2"/>
  </r>
  <r>
    <x v="1"/>
    <x v="142"/>
    <n v="37.53"/>
    <n v="39.950000000000003"/>
    <n v="40.04"/>
    <n v="35.51"/>
    <s v="2.20B"/>
    <n v="-4.9700000000000001E-2"/>
    <n v="-1.0658140154542804E-3"/>
  </r>
  <r>
    <x v="1"/>
    <x v="143"/>
    <n v="37.49"/>
    <n v="37.619999999999997"/>
    <n v="39.119999999999997"/>
    <n v="36.83"/>
    <s v="1.47B"/>
    <n v="-8.9999999999999998E-4"/>
    <n v="9.8159509202453976E-2"/>
  </r>
  <r>
    <x v="1"/>
    <x v="144"/>
    <n v="41.17"/>
    <n v="37.9"/>
    <n v="42.19"/>
    <n v="37.380000000000003"/>
    <s v="1.41B"/>
    <n v="9.8199999999999996E-2"/>
    <n v="2.6232693709011375E-2"/>
  </r>
  <r>
    <x v="1"/>
    <x v="145"/>
    <n v="42.25"/>
    <n v="41.46"/>
    <n v="43.04"/>
    <n v="40.15"/>
    <s v="1.43B"/>
    <n v="2.6200000000000001E-2"/>
    <n v="4.9230769230769189E-2"/>
  </r>
  <r>
    <x v="1"/>
    <x v="146"/>
    <n v="44.33"/>
    <n v="42.65"/>
    <n v="44.52"/>
    <n v="41.67"/>
    <s v="1.21B"/>
    <n v="4.9099999999999998E-2"/>
    <n v="4.3311527182494966E-2"/>
  </r>
  <r>
    <x v="1"/>
    <x v="147"/>
    <n v="46.25"/>
    <n v="44.4"/>
    <n v="47.48"/>
    <n v="44.22"/>
    <s v="1.47B"/>
    <n v="4.3400000000000001E-2"/>
    <n v="7.5243243243243177E-2"/>
  </r>
  <r>
    <x v="1"/>
    <x v="148"/>
    <n v="49.73"/>
    <n v="46.39"/>
    <n v="50.06"/>
    <n v="46.39"/>
    <s v="1.52B"/>
    <n v="7.5300000000000006E-2"/>
    <n v="-2.6744419867283296E-2"/>
  </r>
  <r>
    <x v="1"/>
    <x v="149"/>
    <n v="48.4"/>
    <n v="49.93"/>
    <n v="50.85"/>
    <n v="46.35"/>
    <s v="1.92B"/>
    <n v="-2.6800000000000001E-2"/>
    <n v="2.0454545454545496E-2"/>
  </r>
  <r>
    <x v="1"/>
    <x v="150"/>
    <n v="49.39"/>
    <n v="48.64"/>
    <n v="54.17"/>
    <n v="47.55"/>
    <s v="1.58B"/>
    <n v="2.0400000000000001E-2"/>
    <n v="-7.2889248835796604E-3"/>
  </r>
  <r>
    <x v="1"/>
    <x v="151"/>
    <n v="49.03"/>
    <n v="49.81"/>
    <n v="50.32"/>
    <n v="46.82"/>
    <s v="1.55B"/>
    <n v="-7.3000000000000001E-3"/>
    <n v="-1.9579849071996752E-2"/>
  </r>
  <r>
    <x v="1"/>
    <x v="152"/>
    <n v="48.07"/>
    <n v="49.21"/>
    <n v="50"/>
    <n v="46.59"/>
    <s v="1.19B"/>
    <n v="-1.9599999999999999E-2"/>
    <n v="0.14957353858955685"/>
  </r>
  <r>
    <x v="1"/>
    <x v="153"/>
    <n v="55.26"/>
    <n v="48.2"/>
    <n v="56.14"/>
    <n v="47.52"/>
    <s v="1.67B"/>
    <n v="0.1497"/>
    <n v="6.4784654361201691E-2"/>
  </r>
  <r>
    <x v="1"/>
    <x v="154"/>
    <n v="58.84"/>
    <n v="55.27"/>
    <n v="60.67"/>
    <n v="54.34"/>
    <s v="1.54B"/>
    <n v="6.4699999999999994E-2"/>
    <n v="-6.2882392929980374E-3"/>
  </r>
  <r>
    <x v="1"/>
    <x v="155"/>
    <n v="58.47"/>
    <n v="58.6"/>
    <n v="59.74"/>
    <n v="56.24"/>
    <s v="1.16B"/>
    <n v="-6.1999999999999998E-3"/>
    <n v="0.24063622370446397"/>
  </r>
  <r>
    <x v="1"/>
    <x v="156"/>
    <n v="72.540000000000006"/>
    <n v="58.6"/>
    <n v="73.63"/>
    <n v="58.53"/>
    <s v="1.93B"/>
    <n v="0.24060000000000001"/>
    <n v="4.2459332781913398E-2"/>
  </r>
  <r>
    <x v="1"/>
    <x v="157"/>
    <n v="75.62"/>
    <n v="72.25"/>
    <n v="76.430000000000007"/>
    <n v="63.3"/>
    <s v="2.76B"/>
    <n v="4.24E-2"/>
    <n v="-4.2978048135413907E-2"/>
  </r>
  <r>
    <x v="1"/>
    <x v="158"/>
    <n v="72.37"/>
    <n v="75.680000000000007"/>
    <n v="80.88"/>
    <n v="68.260000000000005"/>
    <s v="2.61B"/>
    <n v="-4.2999999999999997E-2"/>
    <n v="8.2078209202708266E-2"/>
  </r>
  <r>
    <x v="1"/>
    <x v="159"/>
    <n v="78.31"/>
    <n v="70.88"/>
    <n v="81.900000000000006"/>
    <n v="67.64"/>
    <s v="2.60B"/>
    <n v="8.2100000000000006E-2"/>
    <n v="4.0480143021325521E-2"/>
  </r>
  <r>
    <x v="1"/>
    <x v="160"/>
    <n v="81.48"/>
    <n v="78.16"/>
    <n v="81.75"/>
    <n v="77.3"/>
    <s v="1.43B"/>
    <n v="4.0500000000000001E-2"/>
    <n v="4.3078055964653791E-2"/>
  </r>
  <r>
    <x v="1"/>
    <x v="161"/>
    <n v="84.99"/>
    <n v="81.849999999999994"/>
    <n v="88.15"/>
    <n v="81.75"/>
    <s v="1.72B"/>
    <n v="4.3099999999999999E-2"/>
    <n v="4.5652429697611602E-2"/>
  </r>
  <r>
    <x v="1"/>
    <x v="162"/>
    <n v="88.87"/>
    <n v="84.14"/>
    <n v="94"/>
    <n v="83.9"/>
    <s v="1.95B"/>
    <n v="4.5699999999999998E-2"/>
    <n v="0.13244064363677277"/>
  </r>
  <r>
    <x v="1"/>
    <x v="163"/>
    <n v="100.64"/>
    <n v="89.2"/>
    <n v="101.28"/>
    <n v="88.8"/>
    <s v="1.93B"/>
    <n v="0.13239999999999999"/>
    <n v="-4.8688394276629066E-3"/>
  </r>
  <r>
    <x v="1"/>
    <x v="164"/>
    <n v="100.15"/>
    <n v="101.32"/>
    <n v="102.53"/>
    <n v="93.25"/>
    <s v="1.89B"/>
    <n v="-4.7999999999999996E-3"/>
    <n v="-0.2021967049425861"/>
  </r>
  <r>
    <x v="1"/>
    <x v="165"/>
    <n v="79.900000000000006"/>
    <n v="101.1"/>
    <n v="101.66"/>
    <n v="73.819999999999993"/>
    <s v="3.66B"/>
    <n v="-0.20219999999999999"/>
    <n v="5.7697121401752177E-2"/>
  </r>
  <r>
    <x v="1"/>
    <x v="166"/>
    <n v="84.51"/>
    <n v="81.180000000000007"/>
    <n v="89.2"/>
    <n v="71"/>
    <s v="2.79B"/>
    <n v="5.7700000000000001E-2"/>
    <n v="-0.11134776949473447"/>
  </r>
  <r>
    <x v="1"/>
    <x v="167"/>
    <n v="75.099999999999994"/>
    <n v="88.47"/>
    <n v="88.92"/>
    <n v="65.349999999999994"/>
    <s v="3.10B"/>
    <n v="-0.1113"/>
    <n v="0.14434087882822907"/>
  </r>
  <r>
    <x v="1"/>
    <x v="168"/>
    <n v="85.94"/>
    <n v="73.260000000000005"/>
    <n v="86.82"/>
    <n v="73.05"/>
    <s v="2.68B"/>
    <n v="0.14430000000000001"/>
    <n v="-4.5962299278566474E-2"/>
  </r>
  <r>
    <x v="1"/>
    <x v="169"/>
    <n v="81.99"/>
    <n v="81.94"/>
    <n v="83.65"/>
    <n v="78.34"/>
    <s v="1.62B"/>
    <n v="-4.5900000000000003E-2"/>
    <n v="8.5986095865349582E-2"/>
  </r>
  <r>
    <x v="1"/>
    <x v="170"/>
    <n v="89.04"/>
    <n v="82.76"/>
    <n v="91.19"/>
    <n v="79.33"/>
    <s v="2.02B"/>
    <n v="8.5900000000000004E-2"/>
    <n v="8.1873315363881302E-2"/>
  </r>
  <r>
    <x v="1"/>
    <x v="171"/>
    <n v="96.33"/>
    <n v="90.01"/>
    <n v="97.82"/>
    <n v="89.94"/>
    <s v="1.63B"/>
    <n v="8.1900000000000001E-2"/>
    <n v="-7.8687843870030083E-2"/>
  </r>
  <r>
    <x v="1"/>
    <x v="172"/>
    <n v="88.75"/>
    <n v="96.65"/>
    <n v="98.22"/>
    <n v="88.64"/>
    <s v="1.96B"/>
    <n v="-7.8600000000000003E-2"/>
    <n v="6.6816901408450785E-2"/>
  </r>
  <r>
    <x v="1"/>
    <x v="173"/>
    <n v="94.68"/>
    <n v="88"/>
    <n v="96.76"/>
    <n v="83.6"/>
    <s v="1.49B"/>
    <n v="6.6799999999999998E-2"/>
    <n v="-1.4152936206168181E-2"/>
  </r>
  <r>
    <x v="1"/>
    <x v="174"/>
    <n v="93.34"/>
    <n v="96.15"/>
    <n v="101.79"/>
    <n v="92.47"/>
    <s v="1.46B"/>
    <n v="-1.4200000000000001E-2"/>
    <n v="-4.853224769659311E-2"/>
  </r>
  <r>
    <x v="1"/>
    <x v="175"/>
    <n v="88.81"/>
    <n v="93.59"/>
    <n v="94.9"/>
    <n v="87.18"/>
    <s v="1.60B"/>
    <n v="-4.8500000000000001E-2"/>
    <n v="-2.2632586420448204E-2"/>
  </r>
  <r>
    <x v="1"/>
    <x v="176"/>
    <n v="86.8"/>
    <n v="88.5"/>
    <n v="92.68"/>
    <n v="85.46"/>
    <s v="1.24B"/>
    <n v="-2.2700000000000001E-2"/>
    <n v="2.3387096774193563E-2"/>
  </r>
  <r>
    <x v="1"/>
    <x v="177"/>
    <n v="88.83"/>
    <n v="87.3"/>
    <n v="89.94"/>
    <n v="84.25"/>
    <s v="1.44B"/>
    <n v="2.35E-2"/>
    <n v="1.3621524259822222E-2"/>
  </r>
  <r>
    <x v="1"/>
    <x v="178"/>
    <n v="90.04"/>
    <n v="89.4"/>
    <n v="91.23"/>
    <n v="86.14"/>
    <s v="1.04B"/>
    <n v="1.3599999999999999E-2"/>
    <n v="2.6099511328298471E-2"/>
  </r>
  <r>
    <x v="1"/>
    <x v="179"/>
    <n v="92.39"/>
    <n v="90.22"/>
    <n v="95.07"/>
    <n v="86.75"/>
    <s v="1.37B"/>
    <n v="2.6100000000000002E-2"/>
    <n v="8.7130641844355414E-2"/>
  </r>
  <r>
    <x v="1"/>
    <x v="180"/>
    <n v="100.44"/>
    <n v="93.75"/>
    <n v="102.79"/>
    <n v="90.77"/>
    <s v="1.70B"/>
    <n v="8.7099999999999997E-2"/>
    <n v="-6.2226204699322982E-2"/>
  </r>
  <r>
    <x v="1"/>
    <x v="181"/>
    <n v="94.19"/>
    <n v="100.53"/>
    <n v="109.3"/>
    <n v="90.56"/>
    <s v="1.85B"/>
    <n v="-6.2199999999999998E-2"/>
    <n v="3.5035566408323573E-2"/>
  </r>
  <r>
    <x v="1"/>
    <x v="182"/>
    <n v="97.49"/>
    <n v="95.32"/>
    <n v="99.82"/>
    <n v="81.3"/>
    <s v="3.28B"/>
    <n v="3.5000000000000003E-2"/>
    <n v="0.26884808698328044"/>
  </r>
  <r>
    <x v="1"/>
    <x v="183"/>
    <n v="123.7"/>
    <n v="96.65"/>
    <n v="123.75"/>
    <n v="94.46"/>
    <s v="2.49B"/>
    <n v="0.26889999999999997"/>
    <n v="-1.2772837510105078E-2"/>
  </r>
  <r>
    <x v="1"/>
    <x v="184"/>
    <n v="122.12"/>
    <n v="116.84"/>
    <n v="126.27"/>
    <n v="112.82"/>
    <s v="1.65B"/>
    <n v="-1.2800000000000001E-2"/>
    <n v="0.1295447101211922"/>
  </r>
  <r>
    <x v="1"/>
    <x v="185"/>
    <n v="137.94"/>
    <n v="122.4"/>
    <n v="139.80000000000001"/>
    <n v="121.86"/>
    <s v="1.76B"/>
    <n v="0.12959999999999999"/>
    <n v="0.14709293895896761"/>
  </r>
  <r>
    <x v="1"/>
    <x v="186"/>
    <n v="158.22999999999999"/>
    <n v="137.9"/>
    <n v="167.21"/>
    <n v="137.69999999999999"/>
    <s v="2.55B"/>
    <n v="0.14710000000000001"/>
    <n v="9.0501169184099242E-2"/>
  </r>
  <r>
    <x v="1"/>
    <x v="187"/>
    <n v="172.55"/>
    <n v="159.03"/>
    <n v="174.75"/>
    <n v="153.65"/>
    <s v="1.67B"/>
    <n v="9.0499999999999997E-2"/>
    <n v="-8.756882063170103E-2"/>
  </r>
  <r>
    <x v="1"/>
    <x v="188"/>
    <n v="157.44"/>
    <n v="174.48"/>
    <n v="177.61"/>
    <n v="143.55000000000001"/>
    <s v="2.32B"/>
    <n v="-8.7599999999999997E-2"/>
    <n v="-3.5759654471544687E-2"/>
  </r>
  <r>
    <x v="1"/>
    <x v="189"/>
    <n v="151.81"/>
    <n v="160.4"/>
    <n v="174.81"/>
    <n v="150.94999999999999"/>
    <s v="2.33B"/>
    <n v="-3.5799999999999998E-2"/>
    <n v="4.3409525064225039E-2"/>
  </r>
  <r>
    <x v="1"/>
    <x v="190"/>
    <n v="158.4"/>
    <n v="153.09"/>
    <n v="168.34"/>
    <n v="147.51"/>
    <s v="1.82B"/>
    <n v="4.3400000000000001E-2"/>
    <n v="2.8093434343434271E-2"/>
  </r>
  <r>
    <x v="1"/>
    <x v="191"/>
    <n v="162.85"/>
    <n v="159.43"/>
    <n v="167.53"/>
    <n v="153.63999999999999"/>
    <s v="1.55B"/>
    <n v="2.81E-2"/>
    <n v="-1.5597175314706738E-2"/>
  </r>
  <r>
    <x v="1"/>
    <x v="192"/>
    <n v="160.31"/>
    <n v="163.5"/>
    <n v="168.19"/>
    <n v="154.30000000000001"/>
    <s v="1.43B"/>
    <n v="-1.5599999999999999E-2"/>
    <n v="-3.5306593475141888E-2"/>
  </r>
  <r>
    <x v="1"/>
    <x v="193"/>
    <n v="154.65"/>
    <n v="162.12"/>
    <n v="171.7"/>
    <n v="151.84"/>
    <s v="1.44B"/>
    <n v="-3.5299999999999998E-2"/>
    <n v="3.2331070158411214E-4"/>
  </r>
  <r>
    <x v="1"/>
    <x v="194"/>
    <n v="154.69999999999999"/>
    <n v="156.38999999999999"/>
    <n v="159.1"/>
    <n v="144.05000000000001"/>
    <s v="1.56B"/>
    <n v="4.0000000000000002E-4"/>
    <n v="0.1206851971557855"/>
  </r>
  <r>
    <x v="1"/>
    <x v="195"/>
    <n v="173.37"/>
    <n v="155.9"/>
    <n v="177.7"/>
    <n v="155.78"/>
    <s v="1.54B"/>
    <n v="0.1207"/>
    <n v="-7.048508969256502E-2"/>
  </r>
  <r>
    <x v="1"/>
    <x v="196"/>
    <n v="161.15"/>
    <n v="174.24"/>
    <n v="174.33"/>
    <n v="156.37"/>
    <s v="1.50B"/>
    <n v="-7.0499999999999993E-2"/>
    <n v="6.7390629847967634E-2"/>
  </r>
  <r>
    <x v="1"/>
    <x v="197"/>
    <n v="172.01"/>
    <n v="162.16999999999999"/>
    <n v="176.24"/>
    <n v="158.61000000000001"/>
    <s v="1.34B"/>
    <n v="6.7400000000000002E-2"/>
    <n v="-3.2730655194465413E-2"/>
  </r>
  <r>
    <x v="1"/>
    <x v="198"/>
    <n v="166.38"/>
    <n v="171.73"/>
    <n v="188.65"/>
    <n v="165.35"/>
    <s v="1.67B"/>
    <n v="-3.27E-2"/>
    <n v="4.3034018511840348E-2"/>
  </r>
  <r>
    <x v="1"/>
    <x v="199"/>
    <n v="173.54"/>
    <n v="167.65"/>
    <n v="173.63"/>
    <n v="158.79"/>
    <s v="1.26B"/>
    <n v="4.2999999999999997E-2"/>
    <n v="-5.3532326841074063E-2"/>
  </r>
  <r>
    <x v="1"/>
    <x v="200"/>
    <n v="164.25"/>
    <n v="174.82"/>
    <n v="177.5"/>
    <n v="163.69999999999999"/>
    <s v="1.25B"/>
    <n v="-5.3499999999999999E-2"/>
    <n v="2.6605783866057865E-2"/>
  </r>
  <r>
    <x v="1"/>
    <x v="201"/>
    <n v="168.62"/>
    <n v="164.45"/>
    <n v="173.95"/>
    <n v="158.81"/>
    <s v="1.27B"/>
    <n v="2.6599999999999999E-2"/>
    <n v="3.991222867987184E-2"/>
  </r>
  <r>
    <x v="1"/>
    <x v="202"/>
    <n v="175.35"/>
    <n v="168.09"/>
    <n v="188.11"/>
    <n v="164.18"/>
    <s v="1.52B"/>
    <n v="3.9899999999999998E-2"/>
    <n v="-4.9215854006273145E-2"/>
  </r>
  <r>
    <x v="1"/>
    <x v="203"/>
    <n v="166.72"/>
    <n v="177.25"/>
    <n v="177.99"/>
    <n v="165.2"/>
    <s v="1.29B"/>
    <n v="-4.9299999999999997E-2"/>
    <n v="-0.10286708253358928"/>
  </r>
  <r>
    <x v="1"/>
    <x v="204"/>
    <n v="149.57"/>
    <n v="167.55"/>
    <n v="171.4"/>
    <n v="135.35"/>
    <s v="1.53B"/>
    <n v="-0.1028"/>
    <n v="2.6676472554656744E-2"/>
  </r>
  <r>
    <x v="1"/>
    <x v="205"/>
    <n v="153.56"/>
    <n v="150"/>
    <n v="163.83000000000001"/>
    <n v="138.33000000000001"/>
    <s v="1.69B"/>
    <n v="2.6700000000000002E-2"/>
    <n v="6.1474342276634522E-2"/>
  </r>
  <r>
    <x v="1"/>
    <x v="206"/>
    <n v="163"/>
    <n v="152.72999999999999"/>
    <n v="170.83"/>
    <n v="133.57"/>
    <s v="1.63B"/>
    <n v="6.1400000000000003E-2"/>
    <n v="-0.23754601226993866"/>
  </r>
  <r>
    <x v="1"/>
    <x v="207"/>
    <n v="124.28"/>
    <n v="164.15"/>
    <n v="168.39"/>
    <n v="121.63"/>
    <s v="1.47B"/>
    <n v="-0.23749999999999999"/>
    <n v="-3.274863212101712E-2"/>
  </r>
  <r>
    <x v="1"/>
    <x v="208"/>
    <n v="120.21"/>
    <n v="122.4"/>
    <n v="126.22"/>
    <n v="101.26"/>
    <s v="2.26B"/>
    <n v="-3.2800000000000003E-2"/>
    <n v="-0.11646285666749855"/>
  </r>
  <r>
    <x v="1"/>
    <x v="209"/>
    <n v="106.21"/>
    <n v="122.26"/>
    <n v="128.99"/>
    <n v="101.43"/>
    <s v="1.77B"/>
    <n v="-0.11650000000000001"/>
    <n v="0.27059598907824117"/>
  </r>
  <r>
    <x v="1"/>
    <x v="210"/>
    <n v="134.94999999999999"/>
    <n v="106.29"/>
    <n v="137.65"/>
    <n v="105.85"/>
    <s v="1.34B"/>
    <n v="0.27060000000000001"/>
    <n v="-6.0615042608373422E-2"/>
  </r>
  <r>
    <x v="1"/>
    <x v="211"/>
    <n v="126.77"/>
    <n v="134.96"/>
    <n v="146.57"/>
    <n v="126.74"/>
    <s v="1.17B"/>
    <n v="-6.0600000000000001E-2"/>
    <n v="-0.10862191370197993"/>
  </r>
  <r>
    <x v="1"/>
    <x v="212"/>
    <n v="113"/>
    <n v="126"/>
    <n v="136.49"/>
    <n v="112.06"/>
    <s v="1.21B"/>
    <n v="-0.1086"/>
    <n v="-9.3451327433628342E-2"/>
  </r>
  <r>
    <x v="1"/>
    <x v="213"/>
    <n v="102.44"/>
    <n v="113.58"/>
    <n v="123"/>
    <n v="97.66"/>
    <s v="1.46B"/>
    <n v="-9.35E-2"/>
    <n v="-5.7594689574384926E-2"/>
  </r>
  <r>
    <x v="1"/>
    <x v="214"/>
    <n v="96.54"/>
    <n v="103.99"/>
    <n v="104.58"/>
    <n v="85.87"/>
    <s v="2.04B"/>
    <n v="-5.7599999999999998E-2"/>
    <n v="-0.1298943443132381"/>
  </r>
  <r>
    <x v="1"/>
    <x v="215"/>
    <n v="84"/>
    <n v="96.99"/>
    <n v="97.23"/>
    <n v="81.69"/>
    <s v="1.55B"/>
    <n v="-0.12989999999999999"/>
    <n v="0.22773809523809518"/>
  </r>
  <r>
    <x v="1"/>
    <x v="216"/>
    <n v="103.13"/>
    <n v="85.46"/>
    <n v="103.49"/>
    <n v="81.430000000000007"/>
    <s v="1.52B"/>
    <n v="0.22770000000000001"/>
    <n v="-8.629884611655185E-2"/>
  </r>
  <r>
    <x v="1"/>
    <x v="217"/>
    <n v="94.23"/>
    <n v="102.53"/>
    <n v="114"/>
    <n v="92.32"/>
    <s v="1.36B"/>
    <n v="-8.6300000000000002E-2"/>
    <n v="9.6147723654886996E-2"/>
  </r>
  <r>
    <x v="1"/>
    <x v="218"/>
    <n v="103.29"/>
    <n v="93.87"/>
    <n v="103.49"/>
    <n v="88.12"/>
    <s v="1.35B"/>
    <n v="9.6100000000000005E-2"/>
    <n v="2.0911995352889887E-2"/>
  </r>
  <r>
    <x v="1"/>
    <x v="219"/>
    <n v="105.45"/>
    <n v="102.3"/>
    <n v="110.86"/>
    <n v="97.71"/>
    <s v="1.22B"/>
    <n v="2.0899999999999998E-2"/>
    <n v="0.14348032242769079"/>
  </r>
  <r>
    <x v="1"/>
    <x v="220"/>
    <n v="120.58"/>
    <n v="104.95"/>
    <n v="122.92"/>
    <n v="101.15"/>
    <s v="1.43B"/>
    <n v="0.14349999999999999"/>
    <n v="8.1107978105821987E-2"/>
  </r>
  <r>
    <x v="1"/>
    <x v="221"/>
    <n v="130.36000000000001"/>
    <n v="120.69"/>
    <n v="131.49"/>
    <n v="119.93"/>
    <s v="1.24B"/>
    <n v="8.1100000000000005E-2"/>
    <n v="2.5467934949370916E-2"/>
  </r>
  <r>
    <x v="1"/>
    <x v="222"/>
    <n v="133.68"/>
    <n v="130.82"/>
    <n v="136.65"/>
    <n v="125.92"/>
    <s v="1.06B"/>
    <n v="2.5499999999999998E-2"/>
    <n v="3.2390783961699463E-2"/>
  </r>
  <r>
    <x v="1"/>
    <x v="223"/>
    <n v="138.01"/>
    <n v="133.55000000000001"/>
    <n v="143.63"/>
    <n v="126.41"/>
    <s v="1.21B"/>
    <n v="3.2399999999999998E-2"/>
    <n v="-7.8907325556119026E-2"/>
  </r>
  <r>
    <x v="1"/>
    <x v="224"/>
    <n v="127.12"/>
    <n v="139.46"/>
    <n v="145.86000000000001"/>
    <n v="123.04"/>
    <s v="1.12B"/>
    <n v="-7.8899999999999998E-2"/>
    <n v="4.6963499056010057E-2"/>
  </r>
  <r>
    <x v="1"/>
    <x v="225"/>
    <n v="133.09"/>
    <n v="127.28"/>
    <n v="134.47999999999999"/>
    <n v="118.35"/>
    <s v="1.22B"/>
    <n v="4.7E-2"/>
    <n v="9.7678262829664131E-2"/>
  </r>
  <r>
    <x v="1"/>
    <x v="226"/>
    <n v="146.09"/>
    <n v="133.96"/>
    <n v="149.26"/>
    <n v="133.71"/>
    <s v="1.03B"/>
    <n v="9.7699999999999995E-2"/>
    <n v="4.0043808611130084E-2"/>
  </r>
  <r>
    <x v="1"/>
    <x v="227"/>
    <n v="151.94"/>
    <n v="146"/>
    <n v="155.63"/>
    <n v="142.81"/>
    <s v="931.32M"/>
    <n v="0.04"/>
    <n v="2.1455837830722593E-2"/>
  </r>
  <r>
    <x v="1"/>
    <x v="228"/>
    <n v="155.19999999999999"/>
    <n v="151.54"/>
    <n v="161.72999999999999"/>
    <n v="144.05000000000001"/>
    <s v="954.01M"/>
    <n v="2.1499999999999998E-2"/>
    <n v="0.13891752577319591"/>
  </r>
  <r>
    <x v="1"/>
    <x v="229"/>
    <n v="176.76"/>
    <n v="155.87"/>
    <n v="177.22"/>
    <n v="155.62"/>
    <s v="1.05B"/>
    <n v="0.1389"/>
    <n v="2.0479746548993011E-2"/>
  </r>
  <r>
    <x v="1"/>
    <x v="230"/>
    <n v="180.38"/>
    <n v="176.75"/>
    <n v="181.7"/>
    <n v="171.47"/>
    <s v="702.06M"/>
    <n v="2.0500000000000001E-2"/>
    <n v="-2.9825923051336044E-2"/>
  </r>
  <r>
    <x v="1"/>
    <x v="231"/>
    <n v="175"/>
    <n v="180.79"/>
    <n v="189.77"/>
    <n v="166.32"/>
    <s v="917.17M"/>
    <n v="-2.98E-2"/>
    <n v="8.228571428571415E-3"/>
  </r>
  <r>
    <x v="1"/>
    <x v="232"/>
    <n v="176.44"/>
    <n v="181.63"/>
    <n v="191.7"/>
    <n v="173.87"/>
    <s v="892.34M"/>
    <n v="8.2000000000000007E-3"/>
    <n v="9.5273180684652015E-2"/>
  </r>
  <r>
    <x v="1"/>
    <x v="233"/>
    <n v="193.25"/>
    <n v="177.7"/>
    <n v="199.84"/>
    <n v="175.92"/>
    <s v="813.28M"/>
    <n v="9.5299999999999996E-2"/>
    <n v="-3.2445019404915967E-2"/>
  </r>
  <r>
    <x v="1"/>
    <x v="234"/>
    <n v="186.98"/>
    <n v="193.49"/>
    <n v="201.2"/>
    <n v="176.8"/>
    <s v="868.12M"/>
    <n v="-3.2399999999999998E-2"/>
    <n v="-4.5352444111669644E-2"/>
  </r>
  <r>
    <x v="1"/>
    <x v="235"/>
    <n v="178.5"/>
    <n v="189.29"/>
    <n v="190.6"/>
    <n v="151.61000000000001"/>
    <s v="971.02M"/>
    <n v="-4.5400000000000003E-2"/>
    <n v="4.3865546218487463E-2"/>
  </r>
  <r>
    <x v="1"/>
    <x v="236"/>
    <n v="186.33"/>
    <n v="177.55"/>
    <n v="195.37"/>
    <n v="171.16"/>
    <s v="765.13M"/>
    <n v="4.3900000000000002E-2"/>
    <n v="3.7567756131590818E-4"/>
  </r>
  <r>
    <x v="1"/>
    <x v="237"/>
    <n v="186.4"/>
    <n v="184.9"/>
    <n v="195.61"/>
    <n v="180.25"/>
    <s v="734.07M"/>
    <n v="4.0000000000000002E-4"/>
    <n v="0.11528969957081535"/>
  </r>
  <r>
    <x v="1"/>
    <x v="238"/>
    <n v="207.89"/>
    <n v="199"/>
    <n v="215.9"/>
    <n v="194.31"/>
    <s v="905.94M"/>
    <n v="0.1153"/>
    <n v="5.5317716099860505E-2"/>
  </r>
  <r>
    <x v="1"/>
    <x v="239"/>
    <n v="219.39"/>
    <n v="209.96"/>
    <n v="233"/>
    <n v="209.51"/>
    <s v="760.92M"/>
    <n v="5.5300000000000002E-2"/>
    <n v="0"/>
  </r>
  <r>
    <x v="2"/>
    <x v="0"/>
    <n v="4.9000000000000004"/>
    <n v="4.9400000000000004"/>
    <n v="5.14"/>
    <n v="4.41"/>
    <s v="4.11B"/>
    <n v="1.66E-2"/>
    <n v="-4.0816326530612276E-2"/>
  </r>
  <r>
    <x v="2"/>
    <x v="1"/>
    <n v="4.7"/>
    <n v="4.8600000000000003"/>
    <n v="5.43"/>
    <n v="4.53"/>
    <s v="6.53B"/>
    <n v="-4.0800000000000003E-2"/>
    <n v="-3.8297872340425657E-2"/>
  </r>
  <r>
    <x v="2"/>
    <x v="2"/>
    <n v="4.5199999999999996"/>
    <n v="4.74"/>
    <n v="4.75"/>
    <n v="4.32"/>
    <s v="3.45B"/>
    <n v="-3.8300000000000001E-2"/>
    <n v="0.21902654867256643"/>
  </r>
  <r>
    <x v="2"/>
    <x v="3"/>
    <n v="5.51"/>
    <n v="4.55"/>
    <n v="5.62"/>
    <n v="4.5"/>
    <s v="4.56B"/>
    <n v="0.219"/>
    <n v="0.25952813067150649"/>
  </r>
  <r>
    <x v="2"/>
    <x v="4"/>
    <n v="6.94"/>
    <n v="5.56"/>
    <n v="6.97"/>
    <n v="5.51"/>
    <s v="5.09B"/>
    <n v="0.25950000000000001"/>
    <n v="6.0518731988472609E-2"/>
  </r>
  <r>
    <x v="2"/>
    <x v="5"/>
    <n v="7.36"/>
    <n v="7.09"/>
    <n v="7.74"/>
    <n v="6.69"/>
    <s v="7.84B"/>
    <n v="6.0499999999999998E-2"/>
    <n v="-2.1739130434782625E-2"/>
  </r>
  <r>
    <x v="2"/>
    <x v="6"/>
    <n v="7.2"/>
    <n v="7.38"/>
    <n v="7.95"/>
    <n v="7.18"/>
    <s v="4.14B"/>
    <n v="-2.1700000000000001E-2"/>
    <n v="-5.5555555555555601E-3"/>
  </r>
  <r>
    <x v="2"/>
    <x v="7"/>
    <n v="7.16"/>
    <n v="7.21"/>
    <n v="7.5"/>
    <n v="6.84"/>
    <s v="2.87B"/>
    <n v="-5.5999999999999999E-3"/>
    <n v="0.10614525139664802"/>
  </r>
  <r>
    <x v="2"/>
    <x v="8"/>
    <n v="7.92"/>
    <n v="7.15"/>
    <n v="8.0299999999999994"/>
    <n v="7.13"/>
    <s v="3.41B"/>
    <n v="0.1061"/>
    <n v="0.17550505050505058"/>
  </r>
  <r>
    <x v="2"/>
    <x v="9"/>
    <n v="9.31"/>
    <n v="7.85"/>
    <n v="9.3800000000000008"/>
    <n v="7.27"/>
    <s v="3.88B"/>
    <n v="0.17549999999999999"/>
    <n v="8.8077336197636968E-2"/>
  </r>
  <r>
    <x v="2"/>
    <x v="10"/>
    <n v="10.130000000000001"/>
    <n v="9.31"/>
    <n v="10.79"/>
    <n v="9.23"/>
    <s v="4.24B"/>
    <n v="8.8099999999999998E-2"/>
    <n v="2.4679170779861793E-2"/>
  </r>
  <r>
    <x v="2"/>
    <x v="11"/>
    <n v="10.38"/>
    <n v="10.24"/>
    <n v="11.17"/>
    <n v="9.98"/>
    <s v="3.97B"/>
    <n v="2.47E-2"/>
    <n v="4.3352601156069294E-2"/>
  </r>
  <r>
    <x v="2"/>
    <x v="12"/>
    <n v="10.83"/>
    <n v="10.57"/>
    <n v="11.89"/>
    <n v="9.8800000000000008"/>
    <s v="5.99B"/>
    <n v="4.3400000000000001E-2"/>
    <n v="-0.16251154201292703"/>
  </r>
  <r>
    <x v="2"/>
    <x v="13"/>
    <n v="9.07"/>
    <n v="9.74"/>
    <n v="10.17"/>
    <n v="8.4499999999999993"/>
    <s v="5.95B"/>
    <n v="-0.16250000000000001"/>
    <n v="7.6074972436604132E-2"/>
  </r>
  <r>
    <x v="2"/>
    <x v="14"/>
    <n v="9.76"/>
    <n v="9.2200000000000006"/>
    <n v="9.98"/>
    <n v="8.3000000000000007"/>
    <s v="6.15B"/>
    <n v="7.6100000000000001E-2"/>
    <n v="7.1721311475409943E-2"/>
  </r>
  <r>
    <x v="2"/>
    <x v="15"/>
    <n v="10.46"/>
    <n v="9.75"/>
    <n v="11.28"/>
    <n v="9.7100000000000009"/>
    <s v="3.71B"/>
    <n v="7.17E-2"/>
    <n v="-0.11089866156787763"/>
  </r>
  <r>
    <x v="2"/>
    <x v="16"/>
    <n v="9.3000000000000007"/>
    <n v="10.47"/>
    <n v="10.5"/>
    <n v="9.02"/>
    <s v="3.50B"/>
    <n v="-0.1109"/>
    <n v="0.12795698924731178"/>
  </r>
  <r>
    <x v="2"/>
    <x v="17"/>
    <n v="10.49"/>
    <n v="9.35"/>
    <n v="10.49"/>
    <n v="9.3000000000000007"/>
    <s v="2.85B"/>
    <n v="0.128"/>
    <n v="-7.8169685414680667E-2"/>
  </r>
  <r>
    <x v="2"/>
    <x v="18"/>
    <n v="9.67"/>
    <n v="10.51"/>
    <n v="10.71"/>
    <n v="9.4499999999999993"/>
    <s v="2.55B"/>
    <n v="-7.8200000000000006E-2"/>
    <n v="-2.0682523267838603E-2"/>
  </r>
  <r>
    <x v="2"/>
    <x v="19"/>
    <n v="9.4700000000000006"/>
    <n v="9.64"/>
    <n v="9.76"/>
    <n v="9.09"/>
    <s v="2.14B"/>
    <n v="-2.07E-2"/>
    <n v="6.2302006335797237E-2"/>
  </r>
  <r>
    <x v="2"/>
    <x v="20"/>
    <n v="10.06"/>
    <n v="9.5299999999999994"/>
    <n v="10.48"/>
    <n v="9.43"/>
    <s v="2.43B"/>
    <n v="6.2300000000000001E-2"/>
    <n v="0.18489065606361824"/>
  </r>
  <r>
    <x v="2"/>
    <x v="21"/>
    <n v="11.92"/>
    <n v="10.06"/>
    <n v="12.31"/>
    <n v="9.9600000000000009"/>
    <s v="3.18B"/>
    <n v="0.18490000000000001"/>
    <n v="1.7617449664429602E-2"/>
  </r>
  <r>
    <x v="2"/>
    <x v="22"/>
    <n v="12.13"/>
    <n v="11.98"/>
    <n v="12.84"/>
    <n v="11.64"/>
    <s v="2.37B"/>
    <n v="1.7600000000000001E-2"/>
    <n v="-5.028854080791436E-2"/>
  </r>
  <r>
    <x v="2"/>
    <x v="23"/>
    <n v="11.52"/>
    <n v="12.16"/>
    <n v="12.32"/>
    <n v="11.32"/>
    <s v="1.84B"/>
    <n v="-5.0299999999999997E-2"/>
    <n v="8.9409722222222321E-2"/>
  </r>
  <r>
    <x v="2"/>
    <x v="24"/>
    <n v="12.55"/>
    <n v="11.65"/>
    <n v="12.84"/>
    <n v="11.54"/>
    <s v="2.50B"/>
    <n v="8.9399999999999993E-2"/>
    <n v="-0.10358565737051798"/>
  </r>
  <r>
    <x v="2"/>
    <x v="25"/>
    <n v="11.25"/>
    <n v="12.66"/>
    <n v="12.66"/>
    <n v="11.09"/>
    <s v="2.28B"/>
    <n v="-0.1036"/>
    <n v="1.9555555555555611E-2"/>
  </r>
  <r>
    <x v="2"/>
    <x v="26"/>
    <n v="11.47"/>
    <n v="11.08"/>
    <n v="11.66"/>
    <n v="10.94"/>
    <s v="2.37B"/>
    <n v="1.9599999999999999E-2"/>
    <n v="2.8770706190061033E-2"/>
  </r>
  <r>
    <x v="2"/>
    <x v="27"/>
    <n v="11.8"/>
    <n v="11.46"/>
    <n v="12.32"/>
    <n v="11.31"/>
    <s v="1.87B"/>
    <n v="2.8799999999999999E-2"/>
    <n v="5.5932203389830515E-2"/>
  </r>
  <r>
    <x v="2"/>
    <x v="28"/>
    <n v="12.46"/>
    <n v="11.82"/>
    <n v="12.73"/>
    <n v="11.45"/>
    <s v="2.00B"/>
    <n v="5.5899999999999998E-2"/>
    <n v="4.9759229534510369E-2"/>
  </r>
  <r>
    <x v="2"/>
    <x v="29"/>
    <n v="13.08"/>
    <n v="12.54"/>
    <n v="13.39"/>
    <n v="12.45"/>
    <s v="2.59B"/>
    <n v="4.9799999999999997E-2"/>
    <n v="-2.4464831804281367E-2"/>
  </r>
  <r>
    <x v="2"/>
    <x v="30"/>
    <n v="12.76"/>
    <n v="13.15"/>
    <n v="13.98"/>
    <n v="12.48"/>
    <s v="2.34B"/>
    <n v="-2.4500000000000001E-2"/>
    <n v="1.0188087774294733E-2"/>
  </r>
  <r>
    <x v="2"/>
    <x v="31"/>
    <n v="12.89"/>
    <n v="12.77"/>
    <n v="13.18"/>
    <n v="12.02"/>
    <s v="1.77B"/>
    <n v="1.0200000000000001E-2"/>
    <n v="0.10162916989914653"/>
  </r>
  <r>
    <x v="2"/>
    <x v="32"/>
    <n v="14.2"/>
    <n v="12.89"/>
    <n v="14.31"/>
    <n v="12.78"/>
    <s v="1.39B"/>
    <n v="0.1016"/>
    <n v="0.24577464788732409"/>
  </r>
  <r>
    <x v="2"/>
    <x v="33"/>
    <n v="17.690000000000001"/>
    <n v="14.26"/>
    <n v="17.690000000000001"/>
    <n v="14.25"/>
    <s v="3.11B"/>
    <n v="0.24579999999999999"/>
    <n v="-1.9785189372526931E-2"/>
  </r>
  <r>
    <x v="2"/>
    <x v="34"/>
    <n v="17.34"/>
    <n v="17.59"/>
    <n v="18.7"/>
    <n v="15.42"/>
    <s v="3.43B"/>
    <n v="-1.9800000000000002E-2"/>
    <n v="-2.3068050749711156E-3"/>
  </r>
  <r>
    <x v="2"/>
    <x v="35"/>
    <n v="17.3"/>
    <n v="17.29"/>
    <n v="18.14"/>
    <n v="16.329999999999998"/>
    <s v="1.71B"/>
    <n v="-2.3E-3"/>
    <n v="-0.18381502890173418"/>
  </r>
  <r>
    <x v="2"/>
    <x v="36"/>
    <n v="14.12"/>
    <n v="17.34"/>
    <n v="17.45"/>
    <n v="12.99"/>
    <s v="3.16B"/>
    <n v="-0.18379999999999999"/>
    <n v="-0.16501416430594903"/>
  </r>
  <r>
    <x v="2"/>
    <x v="37"/>
    <n v="11.79"/>
    <n v="13.24"/>
    <n v="13.54"/>
    <n v="11.18"/>
    <s v="3.54B"/>
    <n v="-0.16500000000000001"/>
    <n v="-6.5309584393553832E-2"/>
  </r>
  <r>
    <x v="2"/>
    <x v="38"/>
    <n v="11.02"/>
    <n v="11.8"/>
    <n v="11.83"/>
    <n v="10.31"/>
    <s v="2.91B"/>
    <n v="-6.5299999999999997E-2"/>
    <n v="0.3039927404718693"/>
  </r>
  <r>
    <x v="2"/>
    <x v="39"/>
    <n v="14.37"/>
    <n v="11.2"/>
    <n v="14.64"/>
    <n v="11.04"/>
    <s v="2.86B"/>
    <n v="0.30399999999999999"/>
    <n v="2.0180932498260331E-2"/>
  </r>
  <r>
    <x v="2"/>
    <x v="40"/>
    <n v="14.66"/>
    <n v="14.47"/>
    <n v="15.08"/>
    <n v="13.46"/>
    <s v="2.09B"/>
    <n v="2.0199999999999999E-2"/>
    <n v="-0.10163710777626195"/>
  </r>
  <r>
    <x v="2"/>
    <x v="41"/>
    <n v="13.17"/>
    <n v="14.58"/>
    <n v="14.72"/>
    <n v="12.89"/>
    <s v="1.88B"/>
    <n v="-0.1016"/>
    <n v="-9.9468488990129125E-2"/>
  </r>
  <r>
    <x v="2"/>
    <x v="42"/>
    <n v="11.86"/>
    <n v="13"/>
    <n v="13.91"/>
    <n v="11.65"/>
    <s v="2.08B"/>
    <n v="-9.9500000000000005E-2"/>
    <n v="-2.2765598650927452E-2"/>
  </r>
  <r>
    <x v="2"/>
    <x v="43"/>
    <n v="11.59"/>
    <n v="11.82"/>
    <n v="12.78"/>
    <n v="11.56"/>
    <s v="1.38B"/>
    <n v="-2.2800000000000001E-2"/>
    <n v="-0.13546160483175154"/>
  </r>
  <r>
    <x v="2"/>
    <x v="44"/>
    <n v="10.02"/>
    <n v="11.93"/>
    <n v="12.07"/>
    <n v="9.5299999999999994"/>
    <s v="2.80B"/>
    <n v="-0.13550000000000001"/>
    <n v="-0.10279441117764465"/>
  </r>
  <r>
    <x v="2"/>
    <x v="45"/>
    <n v="8.99"/>
    <n v="10.29"/>
    <n v="10.43"/>
    <n v="7.74"/>
    <s v="3.99B"/>
    <n v="-0.1028"/>
    <n v="-0.18464961067853172"/>
  </r>
  <r>
    <x v="2"/>
    <x v="46"/>
    <n v="7.33"/>
    <n v="8.9499999999999993"/>
    <n v="9.32"/>
    <n v="6.19"/>
    <s v="3.16B"/>
    <n v="-0.18459999999999999"/>
    <n v="5.0477489768076415E-2"/>
  </r>
  <r>
    <x v="2"/>
    <x v="47"/>
    <n v="7.7"/>
    <n v="7.17"/>
    <n v="8.25"/>
    <n v="6.57"/>
    <s v="2.26B"/>
    <n v="5.0500000000000003E-2"/>
    <n v="0.10000000000000006"/>
  </r>
  <r>
    <x v="2"/>
    <x v="48"/>
    <n v="8.4700000000000006"/>
    <n v="7.72"/>
    <n v="8.82"/>
    <n v="7.08"/>
    <s v="2.20B"/>
    <n v="0.1"/>
    <n v="-1.1806375442738827E-3"/>
  </r>
  <r>
    <x v="2"/>
    <x v="49"/>
    <n v="8.4600000000000009"/>
    <n v="8.3699999999999992"/>
    <n v="9.5299999999999994"/>
    <n v="8.25"/>
    <s v="2.23B"/>
    <n v="-1.1999999999999999E-3"/>
    <n v="2.9550827423167846E-2"/>
  </r>
  <r>
    <x v="2"/>
    <x v="50"/>
    <n v="8.7100000000000009"/>
    <n v="8.34"/>
    <n v="8.99"/>
    <n v="7.24"/>
    <s v="2.29B"/>
    <n v="2.9600000000000001E-2"/>
    <n v="0.13777267508610783"/>
  </r>
  <r>
    <x v="2"/>
    <x v="51"/>
    <n v="9.91"/>
    <n v="8.6"/>
    <n v="10.1"/>
    <n v="8.52"/>
    <s v="1.76B"/>
    <n v="0.13780000000000001"/>
    <n v="5.3481331987890957E-2"/>
  </r>
  <r>
    <x v="2"/>
    <x v="52"/>
    <n v="10.44"/>
    <n v="9.89"/>
    <n v="10.44"/>
    <n v="9.6300000000000008"/>
    <s v="1.14B"/>
    <n v="5.3499999999999999E-2"/>
    <n v="1.0536398467433067E-2"/>
  </r>
  <r>
    <x v="2"/>
    <x v="53"/>
    <n v="10.55"/>
    <n v="10.48"/>
    <n v="11.19"/>
    <n v="10.06"/>
    <s v="1.41B"/>
    <n v="1.0500000000000001E-2"/>
    <n v="5.1184834123222667E-2"/>
  </r>
  <r>
    <x v="2"/>
    <x v="54"/>
    <n v="11.09"/>
    <n v="10.62"/>
    <n v="11.33"/>
    <n v="9.91"/>
    <s v="1.46B"/>
    <n v="5.1200000000000002E-2"/>
    <n v="4.1478809738503236E-2"/>
  </r>
  <r>
    <x v="2"/>
    <x v="55"/>
    <n v="11.55"/>
    <n v="11.23"/>
    <n v="11.87"/>
    <n v="10.97"/>
    <s v="975.48M"/>
    <n v="4.1500000000000002E-2"/>
    <n v="7.4458874458874405E-2"/>
  </r>
  <r>
    <x v="2"/>
    <x v="56"/>
    <n v="12.41"/>
    <n v="11.5"/>
    <n v="12.69"/>
    <n v="11.33"/>
    <s v="1.02B"/>
    <n v="7.4499999999999997E-2"/>
    <n v="8.1385979049153886E-2"/>
  </r>
  <r>
    <x v="2"/>
    <x v="57"/>
    <n v="13.42"/>
    <n v="12.34"/>
    <n v="14.05"/>
    <n v="12.08"/>
    <s v="1.54B"/>
    <n v="8.14E-2"/>
    <n v="8.7183308494783895E-2"/>
  </r>
  <r>
    <x v="2"/>
    <x v="58"/>
    <n v="14.59"/>
    <n v="13.44"/>
    <n v="14.69"/>
    <n v="13.22"/>
    <s v="818.53M"/>
    <n v="8.72E-2"/>
    <n v="6.3056888279643591E-2"/>
  </r>
  <r>
    <x v="2"/>
    <x v="59"/>
    <n v="15.51"/>
    <n v="14.72"/>
    <n v="15.66"/>
    <n v="14.49"/>
    <s v="852.91M"/>
    <n v="6.3100000000000003E-2"/>
    <n v="-0.14506769825918761"/>
  </r>
  <r>
    <x v="2"/>
    <x v="60"/>
    <n v="13.26"/>
    <n v="15.69"/>
    <n v="15.75"/>
    <n v="13.15"/>
    <s v="1.78B"/>
    <n v="-0.14510000000000001"/>
    <n v="-6.0331825037707445E-3"/>
  </r>
  <r>
    <x v="2"/>
    <x v="61"/>
    <n v="13.18"/>
    <n v="13.38"/>
    <n v="13.7"/>
    <n v="13.01"/>
    <s v="1.04B"/>
    <n v="-6.0000000000000001E-3"/>
    <n v="7.6631259484066752E-2"/>
  </r>
  <r>
    <x v="2"/>
    <x v="62"/>
    <n v="14.19"/>
    <n v="13.24"/>
    <n v="14.72"/>
    <n v="13.21"/>
    <s v="1.68B"/>
    <n v="7.6600000000000001E-2"/>
    <n v="-7.2586328400281841E-2"/>
  </r>
  <r>
    <x v="2"/>
    <x v="63"/>
    <n v="13.16"/>
    <n v="14.3"/>
    <n v="14.96"/>
    <n v="13.04"/>
    <s v="1.46B"/>
    <n v="-7.2599999999999998E-2"/>
    <n v="-7.6747720364741631E-2"/>
  </r>
  <r>
    <x v="2"/>
    <x v="64"/>
    <n v="12.15"/>
    <n v="13.18"/>
    <n v="13.34"/>
    <n v="11.51"/>
    <s v="1.63B"/>
    <n v="-7.6700000000000004E-2"/>
    <n v="-8.3950617283950577E-2"/>
  </r>
  <r>
    <x v="2"/>
    <x v="65"/>
    <n v="11.13"/>
    <n v="12.02"/>
    <n v="12.74"/>
    <n v="11.13"/>
    <s v="1.20B"/>
    <n v="-8.4000000000000005E-2"/>
    <n v="8.9847259658580411E-2"/>
  </r>
  <r>
    <x v="2"/>
    <x v="66"/>
    <n v="12.13"/>
    <n v="11.14"/>
    <n v="12.45"/>
    <n v="10.85"/>
    <s v="1.39B"/>
    <n v="8.9800000000000005E-2"/>
    <n v="-7.1723000824402389E-2"/>
  </r>
  <r>
    <x v="2"/>
    <x v="67"/>
    <n v="11.26"/>
    <n v="12.24"/>
    <n v="12.73"/>
    <n v="11.2"/>
    <s v="1.06B"/>
    <n v="-7.17E-2"/>
    <n v="0.16873889875666079"/>
  </r>
  <r>
    <x v="2"/>
    <x v="68"/>
    <n v="13.16"/>
    <n v="11.39"/>
    <n v="13.43"/>
    <n v="11.32"/>
    <s v="1.20B"/>
    <n v="0.16869999999999999"/>
    <n v="0.1671732522796352"/>
  </r>
  <r>
    <x v="2"/>
    <x v="69"/>
    <n v="15.36"/>
    <n v="13.26"/>
    <n v="15.63"/>
    <n v="12.98"/>
    <s v="1.59B"/>
    <n v="0.16719999999999999"/>
    <n v="-9.440104166666663E-2"/>
  </r>
  <r>
    <x v="2"/>
    <x v="70"/>
    <n v="13.91"/>
    <n v="15.41"/>
    <n v="15.79"/>
    <n v="13.85"/>
    <s v="1.17B"/>
    <n v="-9.4399999999999998E-2"/>
    <n v="6.8296189791516845E-2"/>
  </r>
  <r>
    <x v="2"/>
    <x v="71"/>
    <n v="14.86"/>
    <n v="14.09"/>
    <n v="15.19"/>
    <n v="14.07"/>
    <s v="846.30M"/>
    <n v="6.83E-2"/>
    <n v="1.0767160161507413E-2"/>
  </r>
  <r>
    <x v="2"/>
    <x v="72"/>
    <n v="15.02"/>
    <n v="14.93"/>
    <n v="16.09"/>
    <n v="14.9"/>
    <s v="1.20B"/>
    <n v="1.0800000000000001E-2"/>
    <n v="2.1970705725699074E-2"/>
  </r>
  <r>
    <x v="2"/>
    <x v="73"/>
    <n v="15.35"/>
    <n v="15.13"/>
    <n v="15.79"/>
    <n v="15.05"/>
    <s v="838.07M"/>
    <n v="2.1999999999999999E-2"/>
    <n v="-4.3648208469055372E-2"/>
  </r>
  <r>
    <x v="2"/>
    <x v="74"/>
    <n v="14.68"/>
    <n v="15.46"/>
    <n v="15.5"/>
    <n v="13.8"/>
    <s v="1.20B"/>
    <n v="-4.36E-2"/>
    <n v="-7.2207084468664889E-2"/>
  </r>
  <r>
    <x v="2"/>
    <x v="75"/>
    <n v="13.62"/>
    <n v="14.73"/>
    <n v="14.89"/>
    <n v="12.99"/>
    <s v="1.41B"/>
    <n v="-7.22E-2"/>
    <n v="-2.7900146842878049E-2"/>
  </r>
  <r>
    <x v="2"/>
    <x v="76"/>
    <n v="13.24"/>
    <n v="13.66"/>
    <n v="13.66"/>
    <n v="12.85"/>
    <s v="905.42M"/>
    <n v="-2.7900000000000001E-2"/>
    <n v="-4.3051359516616337E-2"/>
  </r>
  <r>
    <x v="2"/>
    <x v="77"/>
    <n v="12.67"/>
    <n v="13.21"/>
    <n v="13.34"/>
    <n v="11.84"/>
    <s v="1.18B"/>
    <n v="-4.3099999999999999E-2"/>
    <n v="0.19258089976322015"/>
  </r>
  <r>
    <x v="2"/>
    <x v="78"/>
    <n v="15.11"/>
    <n v="12.68"/>
    <n v="15.7"/>
    <n v="12.67"/>
    <s v="1.62B"/>
    <n v="0.19259999999999999"/>
    <n v="-0.1039046988749173"/>
  </r>
  <r>
    <x v="2"/>
    <x v="79"/>
    <n v="13.54"/>
    <n v="15.3"/>
    <n v="15.4"/>
    <n v="12.28"/>
    <s v="2.14B"/>
    <n v="-0.10390000000000001"/>
    <n v="-4.800590841949768E-2"/>
  </r>
  <r>
    <x v="2"/>
    <x v="80"/>
    <n v="12.89"/>
    <n v="13.53"/>
    <n v="13.98"/>
    <n v="12.77"/>
    <s v="1.17B"/>
    <n v="-4.8000000000000001E-2"/>
    <n v="0.15050426687354534"/>
  </r>
  <r>
    <x v="2"/>
    <x v="81"/>
    <n v="14.83"/>
    <n v="12.76"/>
    <n v="15.08"/>
    <n v="12.03"/>
    <s v="1.54B"/>
    <n v="0.15049999999999999"/>
    <n v="1.1463250168577204E-2"/>
  </r>
  <r>
    <x v="2"/>
    <x v="82"/>
    <n v="15"/>
    <n v="14.52"/>
    <n v="15.47"/>
    <n v="14.05"/>
    <s v="1.21B"/>
    <n v="1.15E-2"/>
    <n v="7.7333333333333337E-2"/>
  </r>
  <r>
    <x v="2"/>
    <x v="83"/>
    <n v="16.16"/>
    <n v="15.01"/>
    <n v="16.18"/>
    <n v="14.99"/>
    <s v="1.10B"/>
    <n v="7.7299999999999994E-2"/>
    <n v="-0.10148514851485152"/>
  </r>
  <r>
    <x v="2"/>
    <x v="84"/>
    <n v="14.52"/>
    <n v="16.34"/>
    <n v="16.77"/>
    <n v="14.13"/>
    <s v="1.47B"/>
    <n v="-0.10150000000000001"/>
    <n v="6.5426997245179142E-2"/>
  </r>
  <r>
    <x v="2"/>
    <x v="85"/>
    <n v="15.47"/>
    <n v="14.64"/>
    <n v="15.66"/>
    <n v="14.49"/>
    <s v="947.45M"/>
    <n v="6.54E-2"/>
    <n v="3.7491919844861027E-2"/>
  </r>
  <r>
    <x v="2"/>
    <x v="86"/>
    <n v="16.05"/>
    <n v="15.57"/>
    <n v="16.48"/>
    <n v="14.86"/>
    <s v="946.81M"/>
    <n v="3.7499999999999999E-2"/>
    <n v="-5.6697819314641754E-2"/>
  </r>
  <r>
    <x v="2"/>
    <x v="87"/>
    <n v="15.14"/>
    <n v="16.03"/>
    <n v="16.34"/>
    <n v="14.77"/>
    <s v="1.18B"/>
    <n v="-5.67E-2"/>
    <n v="-3.9630118890356766E-2"/>
  </r>
  <r>
    <x v="2"/>
    <x v="88"/>
    <n v="14.54"/>
    <n v="15.11"/>
    <n v="15.96"/>
    <n v="14.49"/>
    <s v="1.17B"/>
    <n v="-3.9600000000000003E-2"/>
    <n v="-1.3755158184318827E-3"/>
  </r>
  <r>
    <x v="2"/>
    <x v="89"/>
    <n v="14.52"/>
    <n v="14.31"/>
    <n v="14.71"/>
    <n v="13.93"/>
    <s v="930.38M"/>
    <n v="-1.6999999999999999E-3"/>
    <n v="9.0909090909090925E-2"/>
  </r>
  <r>
    <x v="2"/>
    <x v="90"/>
    <n v="15.84"/>
    <n v="14.56"/>
    <n v="16.079999999999998"/>
    <n v="14.07"/>
    <s v="1.03B"/>
    <n v="9.1200000000000003E-2"/>
    <n v="8.2070707070707113E-2"/>
  </r>
  <r>
    <x v="2"/>
    <x v="91"/>
    <n v="17.14"/>
    <n v="15.95"/>
    <n v="17.239999999999998"/>
    <n v="15.6"/>
    <s v="941.44M"/>
    <n v="8.2299999999999998E-2"/>
    <n v="0.10151691948658101"/>
  </r>
  <r>
    <x v="2"/>
    <x v="92"/>
    <n v="18.88"/>
    <n v="17.13"/>
    <n v="19.14"/>
    <n v="16.850000000000001"/>
    <s v="1.20B"/>
    <n v="0.1013"/>
    <n v="-9.8516949152542346E-2"/>
  </r>
  <r>
    <x v="2"/>
    <x v="93"/>
    <n v="17.02"/>
    <n v="18.989999999999998"/>
    <n v="19.38"/>
    <n v="16.760000000000002"/>
    <s v="1.44B"/>
    <n v="-9.8299999999999998E-2"/>
    <n v="2.7027027027027077E-2"/>
  </r>
  <r>
    <x v="2"/>
    <x v="94"/>
    <n v="17.48"/>
    <n v="17"/>
    <n v="17.5"/>
    <n v="15.92"/>
    <s v="933.83M"/>
    <n v="2.6599999999999999E-2"/>
    <n v="1.258581235697934E-2"/>
  </r>
  <r>
    <x v="2"/>
    <x v="95"/>
    <n v="17.7"/>
    <n v="17.57"/>
    <n v="18.47"/>
    <n v="17.07"/>
    <s v="834.17M"/>
    <n v="1.29E-2"/>
    <n v="6.836158192090401E-2"/>
  </r>
  <r>
    <x v="2"/>
    <x v="96"/>
    <n v="18.91"/>
    <n v="18"/>
    <n v="19.04"/>
    <n v="17.399999999999999"/>
    <s v="1.05B"/>
    <n v="6.83E-2"/>
    <n v="6.0285563194077241E-2"/>
  </r>
  <r>
    <x v="2"/>
    <x v="97"/>
    <n v="20.05"/>
    <n v="18.97"/>
    <n v="20.239999999999998"/>
    <n v="18.97"/>
    <s v="927.25M"/>
    <n v="6.0199999999999997E-2"/>
    <n v="-8.9775561097256706E-3"/>
  </r>
  <r>
    <x v="2"/>
    <x v="98"/>
    <n v="19.87"/>
    <n v="19.96"/>
    <n v="21.12"/>
    <n v="19.850000000000001"/>
    <s v="851.20M"/>
    <n v="-8.8000000000000005E-3"/>
    <n v="3.824861600402607E-2"/>
  </r>
  <r>
    <x v="2"/>
    <x v="99"/>
    <n v="20.63"/>
    <n v="19.89"/>
    <n v="20.71"/>
    <n v="19.05"/>
    <s v="1.07B"/>
    <n v="3.8300000000000001E-2"/>
    <n v="5.6713523994183314E-2"/>
  </r>
  <r>
    <x v="2"/>
    <x v="100"/>
    <n v="21.8"/>
    <n v="20.6"/>
    <n v="23.04"/>
    <n v="20.43"/>
    <s v="989.06M"/>
    <n v="5.6599999999999998E-2"/>
    <n v="1.055045871559635E-2"/>
  </r>
  <r>
    <x v="2"/>
    <x v="101"/>
    <n v="22.03"/>
    <n v="21.85"/>
    <n v="22.79"/>
    <n v="21.2"/>
    <s v="972.01M"/>
    <n v="1.0500000000000001E-2"/>
    <n v="8.6246028143439728E-3"/>
  </r>
  <r>
    <x v="2"/>
    <x v="102"/>
    <n v="22.22"/>
    <n v="22.18"/>
    <n v="23.22"/>
    <n v="21.91"/>
    <s v="1.03B"/>
    <n v="8.3999999999999995E-3"/>
    <n v="-4.6354635463546248E-2"/>
  </r>
  <r>
    <x v="2"/>
    <x v="103"/>
    <n v="21.19"/>
    <n v="22.4"/>
    <n v="22.76"/>
    <n v="21.16"/>
    <s v="670.19M"/>
    <n v="-4.5999999999999999E-2"/>
    <n v="3.4450212364322809E-2"/>
  </r>
  <r>
    <x v="2"/>
    <x v="104"/>
    <n v="21.92"/>
    <n v="21.38"/>
    <n v="22.67"/>
    <n v="21.37"/>
    <s v="662.94M"/>
    <n v="3.4299999999999997E-2"/>
    <n v="0.17655109489051082"/>
  </r>
  <r>
    <x v="2"/>
    <x v="105"/>
    <n v="25.79"/>
    <n v="22.03"/>
    <n v="26.06"/>
    <n v="21.09"/>
    <s v="1.11B"/>
    <n v="0.17660000000000001"/>
    <n v="2.8305544784800327E-2"/>
  </r>
  <r>
    <x v="2"/>
    <x v="106"/>
    <n v="26.52"/>
    <n v="25.82"/>
    <n v="26.73"/>
    <n v="25.15"/>
    <s v="525.53M"/>
    <n v="2.81E-2"/>
    <n v="5.7315233785822005E-2"/>
  </r>
  <r>
    <x v="2"/>
    <x v="107"/>
    <n v="28.04"/>
    <n v="26.61"/>
    <n v="28.05"/>
    <n v="26.25"/>
    <s v="677.56M"/>
    <n v="5.7700000000000001E-2"/>
    <n v="5.3851640513552124E-2"/>
  </r>
  <r>
    <x v="2"/>
    <x v="108"/>
    <n v="29.55"/>
    <n v="27.91"/>
    <n v="29.69"/>
    <n v="27.08"/>
    <s v="1.09B"/>
    <n v="5.3800000000000001E-2"/>
    <n v="2.9441624365482266E-2"/>
  </r>
  <r>
    <x v="2"/>
    <x v="109"/>
    <n v="30.42"/>
    <n v="29.51"/>
    <n v="30.75"/>
    <n v="28.23"/>
    <s v="812.86M"/>
    <n v="2.9399999999999999E-2"/>
    <n v="-8.3168967784352427E-2"/>
  </r>
  <r>
    <x v="2"/>
    <x v="110"/>
    <n v="27.89"/>
    <n v="30.2"/>
    <n v="30.7"/>
    <n v="27.58"/>
    <s v="874.06M"/>
    <n v="-8.3199999999999996E-2"/>
    <n v="-4.1233416995338903E-2"/>
  </r>
  <r>
    <x v="2"/>
    <x v="111"/>
    <n v="26.74"/>
    <n v="28.03"/>
    <n v="29.42"/>
    <n v="25.55"/>
    <s v="1.34B"/>
    <n v="-4.1099999999999998E-2"/>
    <n v="6.8810770381451003E-2"/>
  </r>
  <r>
    <x v="2"/>
    <x v="112"/>
    <n v="28.58"/>
    <n v="26.71"/>
    <n v="28.88"/>
    <n v="25.55"/>
    <s v="829.36M"/>
    <n v="6.8699999999999997E-2"/>
    <n v="2.2743177046886009E-2"/>
  </r>
  <r>
    <x v="2"/>
    <x v="113"/>
    <n v="29.23"/>
    <n v="28.49"/>
    <n v="29.48"/>
    <n v="27.37"/>
    <s v="790.26M"/>
    <n v="2.2800000000000001E-2"/>
    <n v="-8.552856654122476E-3"/>
  </r>
  <r>
    <x v="2"/>
    <x v="114"/>
    <n v="28.98"/>
    <n v="29.38"/>
    <n v="30.45"/>
    <n v="28.61"/>
    <s v="772.29M"/>
    <n v="-8.8000000000000005E-3"/>
    <n v="4.830917874396155E-3"/>
  </r>
  <r>
    <x v="2"/>
    <x v="115"/>
    <n v="29.12"/>
    <n v="28.93"/>
    <n v="29.89"/>
    <n v="28.37"/>
    <s v="582.36M"/>
    <n v="4.7999999999999996E-3"/>
    <n v="1.0302197802197826E-2"/>
  </r>
  <r>
    <x v="2"/>
    <x v="116"/>
    <n v="29.42"/>
    <n v="29.15"/>
    <n v="30.27"/>
    <n v="28.85"/>
    <s v="709.29M"/>
    <n v="1.04E-2"/>
    <n v="-3.5010197144799492E-2"/>
  </r>
  <r>
    <x v="2"/>
    <x v="117"/>
    <n v="28.39"/>
    <n v="29.34"/>
    <n v="29.62"/>
    <n v="25.92"/>
    <s v="1.11B"/>
    <n v="-3.49E-2"/>
    <n v="-3.311025008805922E-2"/>
  </r>
  <r>
    <x v="2"/>
    <x v="118"/>
    <n v="27.45"/>
    <n v="28.18"/>
    <n v="28.36"/>
    <n v="26.96"/>
    <s v="595.51M"/>
    <n v="-3.3099999999999997E-2"/>
    <n v="-3.3515482695810499E-2"/>
  </r>
  <r>
    <x v="2"/>
    <x v="119"/>
    <n v="26.53"/>
    <n v="27.25"/>
    <n v="27.44"/>
    <n v="24.86"/>
    <s v="1.09B"/>
    <n v="-3.3500000000000002E-2"/>
    <n v="1.3192612137203085E-2"/>
  </r>
  <r>
    <x v="2"/>
    <x v="120"/>
    <n v="26.88"/>
    <n v="26.63"/>
    <n v="27.27"/>
    <n v="24.55"/>
    <s v="1.06B"/>
    <n v="1.2999999999999999E-2"/>
    <n v="4.6502976190476192E-2"/>
  </r>
  <r>
    <x v="2"/>
    <x v="121"/>
    <n v="28.13"/>
    <n v="26.72"/>
    <n v="28.47"/>
    <n v="26.09"/>
    <s v="808.41M"/>
    <n v="4.6699999999999998E-2"/>
    <n v="-1.3864201919658748E-2"/>
  </r>
  <r>
    <x v="2"/>
    <x v="122"/>
    <n v="27.74"/>
    <n v="28.35"/>
    <n v="29.16"/>
    <n v="27.52"/>
    <s v="864.15M"/>
    <n v="-1.41E-2"/>
    <n v="-1.0814708002883821E-2"/>
  </r>
  <r>
    <x v="2"/>
    <x v="123"/>
    <n v="27.44"/>
    <n v="27.74"/>
    <n v="29.24"/>
    <n v="26.45"/>
    <s v="874.93M"/>
    <n v="-1.0699999999999999E-2"/>
    <n v="-6.1953352769679917E-3"/>
  </r>
  <r>
    <x v="2"/>
    <x v="124"/>
    <n v="27.27"/>
    <n v="27.53"/>
    <n v="27.91"/>
    <n v="26.61"/>
    <s v="648.44M"/>
    <n v="-6.3E-3"/>
    <n v="-9.9009900990098855E-3"/>
  </r>
  <r>
    <x v="2"/>
    <x v="125"/>
    <n v="27"/>
    <n v="27.44"/>
    <n v="28.28"/>
    <n v="26.94"/>
    <s v="704.36M"/>
    <n v="-9.7000000000000003E-3"/>
    <n v="0.21777777777777788"/>
  </r>
  <r>
    <x v="2"/>
    <x v="126"/>
    <n v="32.880000000000003"/>
    <n v="27.18"/>
    <n v="35.67"/>
    <n v="26.99"/>
    <s v="1.37B"/>
    <n v="0.2175"/>
    <n v="-1.4902676399026824E-2"/>
  </r>
  <r>
    <x v="2"/>
    <x v="127"/>
    <n v="32.39"/>
    <n v="32.880000000000003"/>
    <n v="35.200000000000003"/>
    <n v="29.65"/>
    <s v="1.11B"/>
    <n v="-1.47E-2"/>
    <n v="-1.4510651435628245E-2"/>
  </r>
  <r>
    <x v="2"/>
    <x v="128"/>
    <n v="31.92"/>
    <n v="31.69"/>
    <n v="34.1"/>
    <n v="30.89"/>
    <s v="871.53M"/>
    <n v="-1.46E-2"/>
    <n v="0.15507518796992467"/>
  </r>
  <r>
    <x v="2"/>
    <x v="129"/>
    <n v="36.869999999999997"/>
    <n v="31.9"/>
    <n v="37.630000000000003"/>
    <n v="31.56"/>
    <s v="1.01B"/>
    <n v="0.15509999999999999"/>
    <n v="3.4445348521833556E-2"/>
  </r>
  <r>
    <x v="2"/>
    <x v="130"/>
    <n v="38.14"/>
    <n v="36.89"/>
    <n v="39.15"/>
    <n v="36.57"/>
    <s v="751.55M"/>
    <n v="3.4500000000000003E-2"/>
    <n v="1.9926586261143103E-2"/>
  </r>
  <r>
    <x v="2"/>
    <x v="131"/>
    <n v="38.9"/>
    <n v="38.35"/>
    <n v="39.93"/>
    <n v="36.81"/>
    <s v="873.01M"/>
    <n v="1.9900000000000001E-2"/>
    <n v="-2.1336760925449828E-2"/>
  </r>
  <r>
    <x v="2"/>
    <x v="132"/>
    <n v="38.07"/>
    <n v="38.11"/>
    <n v="38.46"/>
    <n v="34.39"/>
    <s v="1.04B"/>
    <n v="-2.1399999999999999E-2"/>
    <n v="-5.8050958760178642E-2"/>
  </r>
  <r>
    <x v="2"/>
    <x v="133"/>
    <n v="35.86"/>
    <n v="38.56"/>
    <n v="40.520000000000003"/>
    <n v="34.1"/>
    <s v="1.35B"/>
    <n v="-5.8000000000000003E-2"/>
    <n v="6.3859453430005556E-2"/>
  </r>
  <r>
    <x v="2"/>
    <x v="134"/>
    <n v="38.15"/>
    <n v="36.06"/>
    <n v="38.869999999999997"/>
    <n v="35.200000000000003"/>
    <s v="853.39M"/>
    <n v="6.3700000000000007E-2"/>
    <n v="-7.2346002621231933E-2"/>
  </r>
  <r>
    <x v="2"/>
    <x v="135"/>
    <n v="35.39"/>
    <n v="37.86"/>
    <n v="39.549999999999997"/>
    <n v="35.159999999999997"/>
    <s v="933.24M"/>
    <n v="-7.2099999999999997E-2"/>
    <n v="5.7925967787510517E-2"/>
  </r>
  <r>
    <x v="2"/>
    <x v="136"/>
    <n v="37.44"/>
    <n v="35.6"/>
    <n v="37.67"/>
    <n v="35.200000000000003"/>
    <s v="682.16M"/>
    <n v="5.79E-2"/>
    <n v="-6.0363247863247815E-2"/>
  </r>
  <r>
    <x v="2"/>
    <x v="137"/>
    <n v="35.18"/>
    <n v="37.42"/>
    <n v="37.57"/>
    <n v="33.630000000000003"/>
    <s v="839.58M"/>
    <n v="-6.0499999999999998E-2"/>
    <n v="0.12478681068789087"/>
  </r>
  <r>
    <x v="2"/>
    <x v="138"/>
    <n v="39.57"/>
    <n v="35.26"/>
    <n v="40.200000000000003"/>
    <n v="34.950000000000003"/>
    <s v="653.35M"/>
    <n v="0.12479999999999999"/>
    <n v="-2.0217336365933357E-3"/>
  </r>
  <r>
    <x v="2"/>
    <x v="139"/>
    <n v="39.49"/>
    <n v="39.33"/>
    <n v="40.69"/>
    <n v="39.25"/>
    <s v="577.14M"/>
    <n v="-1.9E-3"/>
    <n v="1.7979235249430257E-2"/>
  </r>
  <r>
    <x v="2"/>
    <x v="140"/>
    <n v="40.200000000000003"/>
    <n v="39.6"/>
    <n v="40.950000000000003"/>
    <n v="39.17"/>
    <s v="631.54M"/>
    <n v="1.7999999999999999E-2"/>
    <n v="7.2139303482586844E-3"/>
  </r>
  <r>
    <x v="2"/>
    <x v="141"/>
    <n v="40.49"/>
    <n v="40.130000000000003"/>
    <n v="41.95"/>
    <n v="39.81"/>
    <s v="707.83M"/>
    <n v="7.3000000000000001E-3"/>
    <n v="-4.1985675475426101E-2"/>
  </r>
  <r>
    <x v="2"/>
    <x v="142"/>
    <n v="38.79"/>
    <n v="40.54"/>
    <n v="40.799999999999997"/>
    <n v="37.18"/>
    <s v="967.07M"/>
    <n v="-4.2000000000000003E-2"/>
    <n v="2.1397267336942468E-2"/>
  </r>
  <r>
    <x v="2"/>
    <x v="143"/>
    <n v="39.619999999999997"/>
    <n v="38.93"/>
    <n v="41.22"/>
    <n v="37.67"/>
    <s v="687.13M"/>
    <n v="2.1399999999999999E-2"/>
    <n v="3.5083291267036867E-2"/>
  </r>
  <r>
    <x v="2"/>
    <x v="144"/>
    <n v="41.01"/>
    <n v="40.03"/>
    <n v="43.35"/>
    <n v="39.840000000000003"/>
    <s v="736.81M"/>
    <n v="3.5000000000000003E-2"/>
    <n v="3.0236527676176593E-2"/>
  </r>
  <r>
    <x v="2"/>
    <x v="145"/>
    <n v="42.25"/>
    <n v="41.2"/>
    <n v="42.69"/>
    <n v="40.6"/>
    <s v="529.84M"/>
    <n v="3.0200000000000001E-2"/>
    <n v="3.3136094674556349E-3"/>
  </r>
  <r>
    <x v="2"/>
    <x v="146"/>
    <n v="42.39"/>
    <n v="42.57"/>
    <n v="43.72"/>
    <n v="41.22"/>
    <s v="691.06M"/>
    <n v="3.3999999999999998E-3"/>
    <n v="9.0587402689313423E-2"/>
  </r>
  <r>
    <x v="2"/>
    <x v="147"/>
    <n v="46.23"/>
    <n v="42.44"/>
    <n v="46.79"/>
    <n v="41.73"/>
    <s v="574.43M"/>
    <n v="9.0499999999999997E-2"/>
    <n v="6.7488643737832685E-2"/>
  </r>
  <r>
    <x v="2"/>
    <x v="148"/>
    <n v="49.35"/>
    <n v="46.21"/>
    <n v="49.98"/>
    <n v="46.04"/>
    <s v="707.40M"/>
    <n v="6.7699999999999996E-2"/>
    <n v="-5.8156028368794417E-2"/>
  </r>
  <r>
    <x v="2"/>
    <x v="149"/>
    <n v="46.48"/>
    <n v="49.55"/>
    <n v="50.43"/>
    <n v="46.48"/>
    <s v="881.70M"/>
    <n v="-5.8200000000000002E-2"/>
    <n v="1.7211703958692003E-2"/>
  </r>
  <r>
    <x v="2"/>
    <x v="150"/>
    <n v="47.28"/>
    <n v="46.66"/>
    <n v="50.31"/>
    <n v="45.77"/>
    <s v="838.37M"/>
    <n v="1.7000000000000001E-2"/>
    <n v="1.0152284263959324E-2"/>
  </r>
  <r>
    <x v="2"/>
    <x v="151"/>
    <n v="47.76"/>
    <n v="47.39"/>
    <n v="47.86"/>
    <n v="45.93"/>
    <s v="655.52M"/>
    <n v="1.03E-2"/>
    <n v="1.947236180904522E-2"/>
  </r>
  <r>
    <x v="2"/>
    <x v="152"/>
    <n v="48.69"/>
    <n v="47.87"/>
    <n v="48.79"/>
    <n v="46.23"/>
    <s v="592.59M"/>
    <n v="1.9300000000000001E-2"/>
    <n v="6.0792770589443434E-2"/>
  </r>
  <r>
    <x v="2"/>
    <x v="153"/>
    <n v="51.65"/>
    <n v="48.78"/>
    <n v="53.18"/>
    <n v="48.1"/>
    <s v="737.09M"/>
    <n v="6.0900000000000003E-2"/>
    <n v="3.0977734753146894E-3"/>
  </r>
  <r>
    <x v="2"/>
    <x v="154"/>
    <n v="51.81"/>
    <n v="51.82"/>
    <n v="54"/>
    <n v="51.43"/>
    <s v="573.75M"/>
    <n v="3.0000000000000001E-3"/>
    <n v="1.6599112140513402E-2"/>
  </r>
  <r>
    <x v="2"/>
    <x v="155"/>
    <n v="52.67"/>
    <n v="51.52"/>
    <n v="54.32"/>
    <n v="50.12"/>
    <s v="598.81M"/>
    <n v="1.66E-2"/>
    <n v="0.12227074235807855"/>
  </r>
  <r>
    <x v="2"/>
    <x v="156"/>
    <n v="59.11"/>
    <n v="52.65"/>
    <n v="59.9"/>
    <n v="52.65"/>
    <s v="657.75M"/>
    <n v="0.12230000000000001"/>
    <n v="-6.6147859922178934E-2"/>
  </r>
  <r>
    <x v="2"/>
    <x v="157"/>
    <n v="55.2"/>
    <n v="58.8"/>
    <n v="59.37"/>
    <n v="49.85"/>
    <s v="1.03B"/>
    <n v="-6.6199999999999995E-2"/>
    <n v="-6.0507246376811652E-2"/>
  </r>
  <r>
    <x v="2"/>
    <x v="158"/>
    <n v="51.86"/>
    <n v="55.48"/>
    <n v="58.91"/>
    <n v="49.2"/>
    <s v="1.04B"/>
    <n v="-6.0499999999999998E-2"/>
    <n v="-1.7932896259159271E-2"/>
  </r>
  <r>
    <x v="2"/>
    <x v="159"/>
    <n v="50.93"/>
    <n v="51.38"/>
    <n v="54.88"/>
    <n v="49.71"/>
    <s v="985.04M"/>
    <n v="-1.7899999999999999E-2"/>
    <n v="7.9913606911447096E-2"/>
  </r>
  <r>
    <x v="2"/>
    <x v="160"/>
    <n v="55"/>
    <n v="50.81"/>
    <n v="55.91"/>
    <n v="50.39"/>
    <s v="740.73M"/>
    <n v="7.9899999999999999E-2"/>
    <n v="2.654545454545456E-2"/>
  </r>
  <r>
    <x v="2"/>
    <x v="161"/>
    <n v="56.46"/>
    <n v="55.64"/>
    <n v="60.07"/>
    <n v="55.3"/>
    <s v="803.69M"/>
    <n v="2.6499999999999999E-2"/>
    <n v="8.6787105915692497E-2"/>
  </r>
  <r>
    <x v="2"/>
    <x v="162"/>
    <n v="61.36"/>
    <n v="55.77"/>
    <n v="64.569999999999993"/>
    <n v="55.33"/>
    <s v="836.12M"/>
    <n v="8.6800000000000002E-2"/>
    <n v="3.7483702737940673E-3"/>
  </r>
  <r>
    <x v="2"/>
    <x v="163"/>
    <n v="61.59"/>
    <n v="61.96"/>
    <n v="63.6"/>
    <n v="60.2"/>
    <s v="685.97M"/>
    <n v="3.7000000000000002E-3"/>
    <n v="-2.0133138496509204E-2"/>
  </r>
  <r>
    <x v="2"/>
    <x v="164"/>
    <n v="60.35"/>
    <n v="61.13"/>
    <n v="61.39"/>
    <n v="57.58"/>
    <s v="718.54M"/>
    <n v="-2.01E-2"/>
    <n v="-9.6437448218724117E-2"/>
  </r>
  <r>
    <x v="2"/>
    <x v="165"/>
    <n v="54.53"/>
    <n v="60.65"/>
    <n v="61.23"/>
    <n v="50.36"/>
    <s v="1.13B"/>
    <n v="-9.6500000000000002E-2"/>
    <n v="1.7421602787456369E-2"/>
  </r>
  <r>
    <x v="2"/>
    <x v="166"/>
    <n v="55.48"/>
    <n v="54.57"/>
    <n v="55.5"/>
    <n v="50.11"/>
    <s v="786.27M"/>
    <n v="1.7500000000000002E-2"/>
    <n v="-5.8219178082191729E-2"/>
  </r>
  <r>
    <x v="2"/>
    <x v="167"/>
    <n v="52.25"/>
    <n v="56.61"/>
    <n v="56.75"/>
    <n v="48.88"/>
    <s v="857.40M"/>
    <n v="-5.8299999999999998E-2"/>
    <n v="7.7320574162679415E-2"/>
  </r>
  <r>
    <x v="2"/>
    <x v="168"/>
    <n v="56.29"/>
    <n v="51.36"/>
    <n v="56.38"/>
    <n v="51.12"/>
    <s v="697.20M"/>
    <n v="7.7399999999999997E-2"/>
    <n v="7.1060579143718511E-4"/>
  </r>
  <r>
    <x v="2"/>
    <x v="169"/>
    <n v="56.33"/>
    <n v="56.11"/>
    <n v="57.7"/>
    <n v="54.68"/>
    <s v="652.20M"/>
    <n v="5.9999999999999995E-4"/>
    <n v="4.4558849636073233E-2"/>
  </r>
  <r>
    <x v="2"/>
    <x v="170"/>
    <n v="58.84"/>
    <n v="56.55"/>
    <n v="61.82"/>
    <n v="56.51"/>
    <s v="663.72M"/>
    <n v="4.4699999999999997E-2"/>
    <n v="1.886471787899387E-2"/>
  </r>
  <r>
    <x v="2"/>
    <x v="171"/>
    <n v="59.95"/>
    <n v="59.38"/>
    <n v="64.849999999999994"/>
    <n v="59.15"/>
    <s v="647.50M"/>
    <n v="1.8800000000000001E-2"/>
    <n v="-7.7064220183486312E-2"/>
  </r>
  <r>
    <x v="2"/>
    <x v="172"/>
    <n v="55.33"/>
    <n v="59.88"/>
    <n v="59.96"/>
    <n v="55.17"/>
    <s v="742.74M"/>
    <n v="-7.7100000000000002E-2"/>
    <n v="-2.1507319718055265E-2"/>
  </r>
  <r>
    <x v="2"/>
    <x v="173"/>
    <n v="54.14"/>
    <n v="53.35"/>
    <n v="56.33"/>
    <n v="51.35"/>
    <s v="712.48M"/>
    <n v="-2.1399999999999999E-2"/>
    <n v="0.12504617657923894"/>
  </r>
  <r>
    <x v="2"/>
    <x v="174"/>
    <n v="60.91"/>
    <n v="55.05"/>
    <n v="63.42"/>
    <n v="54.77"/>
    <s v="715.27M"/>
    <n v="0.125"/>
    <n v="-2.2656378263010927E-2"/>
  </r>
  <r>
    <x v="2"/>
    <x v="175"/>
    <n v="59.53"/>
    <n v="60.88"/>
    <n v="61.81"/>
    <n v="57.14"/>
    <s v="587.06M"/>
    <n v="-2.2700000000000001E-2"/>
    <n v="2.5701327061985572E-2"/>
  </r>
  <r>
    <x v="2"/>
    <x v="176"/>
    <n v="61.06"/>
    <n v="59.09"/>
    <n v="62.4"/>
    <n v="58.19"/>
    <s v="525.49M"/>
    <n v="2.5700000000000001E-2"/>
    <n v="3.0789387487716924E-2"/>
  </r>
  <r>
    <x v="2"/>
    <x v="177"/>
    <n v="62.94"/>
    <n v="61.12"/>
    <n v="64.959999999999994"/>
    <n v="58.16"/>
    <s v="622.54M"/>
    <n v="3.0800000000000001E-2"/>
    <n v="3.5907213218938756E-2"/>
  </r>
  <r>
    <x v="2"/>
    <x v="178"/>
    <n v="65.2"/>
    <n v="63.29"/>
    <n v="66.7"/>
    <n v="62.99"/>
    <s v="527.19M"/>
    <n v="3.5999999999999997E-2"/>
    <n v="2.7147239263803618E-2"/>
  </r>
  <r>
    <x v="2"/>
    <x v="179"/>
    <n v="66.97"/>
    <n v="65.13"/>
    <n v="68.349999999999994"/>
    <n v="63.85"/>
    <s v="565.60M"/>
    <n v="2.7099999999999999E-2"/>
    <n v="6.9732716141555948E-2"/>
  </r>
  <r>
    <x v="2"/>
    <x v="180"/>
    <n v="71.64"/>
    <n v="67.42"/>
    <n v="75.03"/>
    <n v="67.319999999999993"/>
    <s v="674.01M"/>
    <n v="6.9699999999999998E-2"/>
    <n v="-6.5326633165829234E-2"/>
  </r>
  <r>
    <x v="2"/>
    <x v="181"/>
    <n v="66.959999999999994"/>
    <n v="73.08"/>
    <n v="76.540000000000006"/>
    <n v="63.41"/>
    <s v="831.30M"/>
    <n v="-6.5299999999999997E-2"/>
    <n v="-0.13231780167264029"/>
  </r>
  <r>
    <x v="2"/>
    <x v="182"/>
    <n v="58.1"/>
    <n v="67.569999999999993"/>
    <n v="70.41"/>
    <n v="50.44"/>
    <s v="1.57B"/>
    <n v="-0.13239999999999999"/>
    <n v="0.15886402753872628"/>
  </r>
  <r>
    <x v="2"/>
    <x v="183"/>
    <n v="67.33"/>
    <n v="56.2"/>
    <n v="68.010000000000005"/>
    <n v="53.75"/>
    <s v="1.12B"/>
    <n v="0.159"/>
    <n v="6.4607158770236275E-2"/>
  </r>
  <r>
    <x v="2"/>
    <x v="184"/>
    <n v="71.680000000000007"/>
    <n v="66.2"/>
    <n v="72.260000000000005"/>
    <n v="64.8"/>
    <s v="725.27M"/>
    <n v="6.4500000000000002E-2"/>
    <n v="-1.0881696428571444E-2"/>
  </r>
  <r>
    <x v="2"/>
    <x v="185"/>
    <n v="70.900000000000006"/>
    <n v="71.290000000000006"/>
    <n v="73.790000000000006"/>
    <n v="67.58"/>
    <s v="814.32M"/>
    <n v="-1.0800000000000001E-2"/>
    <n v="4.9365303244005634E-2"/>
  </r>
  <r>
    <x v="2"/>
    <x v="186"/>
    <n v="74.400000000000006"/>
    <n v="70.959999999999994"/>
    <n v="79.349999999999994"/>
    <n v="70.709999999999994"/>
    <s v="823.14M"/>
    <n v="4.9299999999999997E-2"/>
    <n v="9.5161290322580611E-2"/>
  </r>
  <r>
    <x v="2"/>
    <x v="187"/>
    <n v="81.48"/>
    <n v="74.55"/>
    <n v="82.64"/>
    <n v="73.2"/>
    <s v="614.67M"/>
    <n v="9.5200000000000007E-2"/>
    <n v="-0.10063819342169861"/>
  </r>
  <r>
    <x v="2"/>
    <x v="188"/>
    <n v="73.28"/>
    <n v="81.61"/>
    <n v="86.31"/>
    <n v="70.11"/>
    <s v="836.69M"/>
    <n v="-0.10059999999999999"/>
    <n v="0.10275655021834063"/>
  </r>
  <r>
    <x v="2"/>
    <x v="189"/>
    <n v="80.81"/>
    <n v="74.180000000000007"/>
    <n v="84.07"/>
    <n v="71.66"/>
    <s v="855.06M"/>
    <n v="0.1027"/>
    <n v="8.5509219156044994E-2"/>
  </r>
  <r>
    <x v="2"/>
    <x v="190"/>
    <n v="87.72"/>
    <n v="81.180000000000007"/>
    <n v="90.84"/>
    <n v="80.61"/>
    <s v="632.00M"/>
    <n v="8.5599999999999996E-2"/>
    <n v="-1.0259917920657023E-3"/>
  </r>
  <r>
    <x v="2"/>
    <x v="191"/>
    <n v="87.63"/>
    <n v="88.33"/>
    <n v="92.19"/>
    <n v="84.7"/>
    <s v="608.67M"/>
    <n v="-1E-3"/>
    <n v="4.2679447677736043E-2"/>
  </r>
  <r>
    <x v="2"/>
    <x v="192"/>
    <n v="91.37"/>
    <n v="88"/>
    <n v="96.6"/>
    <n v="84.81"/>
    <s v="791.71M"/>
    <n v="4.2599999999999999E-2"/>
    <n v="0.10649009521724843"/>
  </r>
  <r>
    <x v="2"/>
    <x v="193"/>
    <n v="101.1"/>
    <n v="92.23"/>
    <n v="107.26"/>
    <n v="92.23"/>
    <s v="678.36M"/>
    <n v="0.1065"/>
    <n v="2.0079129574678549E-2"/>
  </r>
  <r>
    <x v="2"/>
    <x v="194"/>
    <n v="103.13"/>
    <n v="102.4"/>
    <n v="105.69"/>
    <n v="99.7"/>
    <s v="756.76M"/>
    <n v="2.01E-2"/>
    <n v="0.14108406865121703"/>
  </r>
  <r>
    <x v="2"/>
    <x v="195"/>
    <n v="117.68"/>
    <n v="104.61"/>
    <n v="121.57"/>
    <n v="104.57"/>
    <s v="702.40M"/>
    <n v="0.1411"/>
    <n v="1.3596193065941245E-3"/>
  </r>
  <r>
    <x v="2"/>
    <x v="196"/>
    <n v="117.84"/>
    <n v="118.25"/>
    <n v="119.45"/>
    <n v="109.68"/>
    <s v="603.50M"/>
    <n v="1.4E-3"/>
    <n v="3.6065852002715545E-2"/>
  </r>
  <r>
    <x v="2"/>
    <x v="197"/>
    <n v="122.09"/>
    <n v="118.72"/>
    <n v="123.1"/>
    <n v="116.48"/>
    <s v="544.96M"/>
    <n v="3.5999999999999997E-2"/>
    <n v="0.10353018265214174"/>
  </r>
  <r>
    <x v="2"/>
    <x v="198"/>
    <n v="134.72999999999999"/>
    <n v="121.72"/>
    <n v="138.30000000000001"/>
    <n v="121.53"/>
    <s v="610.84M"/>
    <n v="0.10349999999999999"/>
    <n v="7.3999851554961776E-2"/>
  </r>
  <r>
    <x v="2"/>
    <x v="199"/>
    <n v="144.69999999999999"/>
    <n v="135.12"/>
    <n v="145.97"/>
    <n v="133.32"/>
    <s v="461.62M"/>
    <n v="7.3999999999999996E-2"/>
    <n v="-7.6157567380787716E-2"/>
  </r>
  <r>
    <x v="2"/>
    <x v="200"/>
    <n v="133.68"/>
    <n v="145"/>
    <n v="146.25"/>
    <n v="133.56"/>
    <s v="590.91M"/>
    <n v="-7.6200000000000004E-2"/>
    <n v="0.10749551166965891"/>
  </r>
  <r>
    <x v="2"/>
    <x v="201"/>
    <n v="148.05000000000001"/>
    <n v="134.44999999999999"/>
    <n v="148.65"/>
    <n v="131.05000000000001"/>
    <s v="720.80M"/>
    <n v="0.1075"/>
    <n v="-4.1540020263424557E-2"/>
  </r>
  <r>
    <x v="2"/>
    <x v="202"/>
    <n v="141.9"/>
    <n v="148.05000000000001"/>
    <n v="150.97"/>
    <n v="141.6"/>
    <s v="608.46M"/>
    <n v="-4.1500000000000002E-2"/>
    <n v="2.0789288231148614E-2"/>
  </r>
  <r>
    <x v="2"/>
    <x v="203"/>
    <n v="144.85"/>
    <n v="144"/>
    <n v="149.1"/>
    <n v="139.32"/>
    <s v="620.40M"/>
    <n v="2.0799999999999999E-2"/>
    <n v="-6.5930272695892189E-2"/>
  </r>
  <r>
    <x v="2"/>
    <x v="204"/>
    <n v="135.30000000000001"/>
    <n v="145.05000000000001"/>
    <n v="146.47999999999999"/>
    <n v="124.5"/>
    <s v="767.40M"/>
    <n v="-6.59E-2"/>
    <n v="-1.7738359201774506E-3"/>
  </r>
  <r>
    <x v="2"/>
    <x v="205"/>
    <n v="135.06"/>
    <n v="137.59"/>
    <n v="151.55000000000001"/>
    <n v="124.95"/>
    <s v="928.15M"/>
    <n v="-1.8E-3"/>
    <n v="2.9690507922404789E-2"/>
  </r>
  <r>
    <x v="2"/>
    <x v="206"/>
    <n v="139.07"/>
    <n v="134.88"/>
    <n v="143.79"/>
    <n v="125.28"/>
    <s v="729.20M"/>
    <n v="2.9700000000000001E-2"/>
    <n v="-0.17947796073919606"/>
  </r>
  <r>
    <x v="2"/>
    <x v="207"/>
    <n v="114.11"/>
    <n v="139.5"/>
    <n v="143.71"/>
    <n v="112.74"/>
    <s v="761.18M"/>
    <n v="-0.17949999999999999"/>
    <n v="-3.0672158443606546E-3"/>
  </r>
  <r>
    <x v="2"/>
    <x v="208"/>
    <n v="113.76"/>
    <n v="113.4"/>
    <n v="122.85"/>
    <n v="101.88"/>
    <s v="850.45M"/>
    <n v="-3.0000000000000001E-3"/>
    <n v="-4.2194092827004315E-2"/>
  </r>
  <r>
    <x v="2"/>
    <x v="209"/>
    <n v="108.96"/>
    <n v="114.86"/>
    <n v="119.35"/>
    <n v="105.05"/>
    <s v="770.87M"/>
    <n v="-4.2200000000000001E-2"/>
    <n v="6.7547723935389131E-2"/>
  </r>
  <r>
    <x v="2"/>
    <x v="210"/>
    <n v="116.32"/>
    <n v="107.93"/>
    <n v="119.68"/>
    <n v="104.07"/>
    <s v="789.63M"/>
    <n v="6.7500000000000004E-2"/>
    <n v="-6.9635488308115501E-2"/>
  </r>
  <r>
    <x v="2"/>
    <x v="211"/>
    <n v="108.22"/>
    <n v="115.3"/>
    <n v="122.43"/>
    <n v="107.8"/>
    <s v="515.88M"/>
    <n v="-6.9599999999999995E-2"/>
    <n v="-0.11615228238772864"/>
  </r>
  <r>
    <x v="2"/>
    <x v="212"/>
    <n v="95.65"/>
    <n v="108.28"/>
    <n v="111.62"/>
    <n v="95.56"/>
    <s v="613.29M"/>
    <n v="-0.1162"/>
    <n v="-1.1918452692106644E-2"/>
  </r>
  <r>
    <x v="2"/>
    <x v="213"/>
    <n v="94.51"/>
    <n v="96.76"/>
    <n v="104.82"/>
    <n v="91.8"/>
    <s v="681.65M"/>
    <n v="-1.1900000000000001E-2"/>
    <n v="6.8564173103375189E-2"/>
  </r>
  <r>
    <x v="2"/>
    <x v="214"/>
    <n v="100.99"/>
    <n v="95.45"/>
    <n v="101.04"/>
    <n v="83.34"/>
    <s v="716.54M"/>
    <n v="6.8599999999999994E-2"/>
    <n v="-0.12634914347955234"/>
  </r>
  <r>
    <x v="2"/>
    <x v="215"/>
    <n v="88.23"/>
    <n v="101.02"/>
    <n v="102.25"/>
    <n v="85.94"/>
    <s v="602.72M"/>
    <n v="-0.1263"/>
    <n v="0.12025388189958063"/>
  </r>
  <r>
    <x v="2"/>
    <x v="216"/>
    <n v="98.84"/>
    <n v="89.58"/>
    <n v="100.32"/>
    <n v="84.86"/>
    <s v="672.90M"/>
    <n v="0.1203"/>
    <n v="-8.883043302306759E-2"/>
  </r>
  <r>
    <x v="2"/>
    <x v="217"/>
    <n v="90.06"/>
    <n v="98.71"/>
    <n v="108.18"/>
    <n v="88.57"/>
    <s v="952.71M"/>
    <n v="-8.8800000000000004E-2"/>
    <n v="0.15178769709082834"/>
  </r>
  <r>
    <x v="2"/>
    <x v="218"/>
    <n v="103.73"/>
    <n v="89.98"/>
    <n v="106.59"/>
    <n v="89.42"/>
    <s v="860.05M"/>
    <n v="0.15179999999999999"/>
    <n v="3.4801889520871487E-2"/>
  </r>
  <r>
    <x v="2"/>
    <x v="219"/>
    <n v="107.34"/>
    <n v="102.39"/>
    <n v="109.17"/>
    <n v="101.93"/>
    <s v="604.11M"/>
    <n v="3.4799999999999998E-2"/>
    <n v="0.1446804546301472"/>
  </r>
  <r>
    <x v="2"/>
    <x v="220"/>
    <n v="122.87"/>
    <n v="106.84"/>
    <n v="126.43"/>
    <n v="103.71"/>
    <s v="820.61M"/>
    <n v="0.1447"/>
    <n v="-2.5799625620574605E-2"/>
  </r>
  <r>
    <x v="2"/>
    <x v="221"/>
    <n v="119.7"/>
    <n v="122.82"/>
    <n v="129.04"/>
    <n v="116.1"/>
    <s v="656.88M"/>
    <n v="-2.58E-2"/>
    <n v="0.10877192982456137"/>
  </r>
  <r>
    <x v="2"/>
    <x v="222"/>
    <n v="132.72"/>
    <n v="119.24"/>
    <n v="133.74"/>
    <n v="115.35"/>
    <s v="707.11M"/>
    <n v="0.10879999999999999"/>
    <n v="2.5994575045207871E-2"/>
  </r>
  <r>
    <x v="2"/>
    <x v="223"/>
    <n v="136.16999999999999"/>
    <n v="130.77000000000001"/>
    <n v="138"/>
    <n v="126.38"/>
    <s v="593.52M"/>
    <n v="2.5999999999999999E-2"/>
    <n v="-3.8995373430270798E-2"/>
  </r>
  <r>
    <x v="2"/>
    <x v="224"/>
    <n v="130.86000000000001"/>
    <n v="137.46"/>
    <n v="139.16"/>
    <n v="127.22"/>
    <s v="477.63M"/>
    <n v="-3.9E-2"/>
    <n v="-5.1811095827602127E-2"/>
  </r>
  <r>
    <x v="2"/>
    <x v="225"/>
    <n v="124.08"/>
    <n v="131.21"/>
    <n v="141.22"/>
    <n v="120.21"/>
    <s v="680.76M"/>
    <n v="-5.1799999999999999E-2"/>
    <n v="6.8101225016118663E-2"/>
  </r>
  <r>
    <x v="2"/>
    <x v="226"/>
    <n v="132.53"/>
    <n v="124.07"/>
    <n v="139.41999999999999"/>
    <n v="123.71"/>
    <s v="535.34M"/>
    <n v="6.8099999999999994E-2"/>
    <n v="5.4025503659548758E-2"/>
  </r>
  <r>
    <x v="2"/>
    <x v="227"/>
    <n v="139.69"/>
    <n v="131.86000000000001"/>
    <n v="142.68"/>
    <n v="127.9"/>
    <s v="620.00M"/>
    <n v="5.3999999999999999E-2"/>
    <n v="2.9350705132793801E-3"/>
  </r>
  <r>
    <x v="2"/>
    <x v="228"/>
    <n v="140.1"/>
    <n v="138.55000000000001"/>
    <n v="153.78"/>
    <n v="135.15"/>
    <s v="581.87M"/>
    <n v="2.8999999999999998E-3"/>
    <n v="-1.170592433975722E-2"/>
  </r>
  <r>
    <x v="2"/>
    <x v="229"/>
    <n v="138.46"/>
    <n v="142.12"/>
    <n v="149.44"/>
    <n v="135.41"/>
    <s v="647.51M"/>
    <n v="-1.17E-2"/>
    <n v="9.0062111801242226E-2"/>
  </r>
  <r>
    <x v="2"/>
    <x v="230"/>
    <n v="150.93"/>
    <n v="138.43"/>
    <n v="152.26"/>
    <n v="130.66"/>
    <s v="672.72M"/>
    <n v="9.01E-2"/>
    <n v="7.8513218048101727E-2"/>
  </r>
  <r>
    <x v="2"/>
    <x v="231"/>
    <n v="162.78"/>
    <n v="150.69"/>
    <n v="174.71"/>
    <n v="149.6"/>
    <s v="659.88M"/>
    <n v="7.85E-2"/>
    <n v="5.9712495392554361E-2"/>
  </r>
  <r>
    <x v="2"/>
    <x v="232"/>
    <n v="172.5"/>
    <n v="164.3"/>
    <n v="178.77"/>
    <n v="163.05000000000001"/>
    <s v="542.41M"/>
    <n v="5.9700000000000003E-2"/>
    <n v="5.5942028985507278E-2"/>
  </r>
  <r>
    <x v="2"/>
    <x v="233"/>
    <n v="182.15"/>
    <n v="172.54"/>
    <n v="186.05"/>
    <n v="171.16"/>
    <s v="461.09M"/>
    <n v="5.5899999999999998E-2"/>
    <n v="-5.8248696129563619E-2"/>
  </r>
  <r>
    <x v="2"/>
    <x v="234"/>
    <n v="171.54"/>
    <n v="183.03"/>
    <n v="191.75"/>
    <n v="164.06"/>
    <s v="526.15M"/>
    <n v="-5.8200000000000002E-2"/>
    <n v="-4.7569080097936325E-2"/>
  </r>
  <r>
    <x v="2"/>
    <x v="235"/>
    <n v="163.38"/>
    <n v="170.25"/>
    <n v="174.05"/>
    <n v="154.93"/>
    <s v="550.74M"/>
    <n v="-4.7600000000000003E-2"/>
    <n v="1.5118129514016396E-2"/>
  </r>
  <r>
    <x v="2"/>
    <x v="236"/>
    <n v="165.85"/>
    <n v="161.72"/>
    <n v="166.15"/>
    <n v="147.21"/>
    <s v="532.68M"/>
    <n v="1.5100000000000001E-2"/>
    <n v="3.171540548688586E-2"/>
  </r>
  <r>
    <x v="2"/>
    <x v="237"/>
    <n v="171.11"/>
    <n v="167.68"/>
    <n v="182.02"/>
    <n v="159.74"/>
    <s v="569.36M"/>
    <n v="3.1699999999999999E-2"/>
    <n v="-1.2623458593887119E-2"/>
  </r>
  <r>
    <x v="2"/>
    <x v="238"/>
    <n v="168.95"/>
    <n v="170.07"/>
    <n v="182.49"/>
    <n v="163.69999999999999"/>
    <s v="529.99M"/>
    <n v="-1.26E-2"/>
    <n v="0.12044983722994983"/>
  </r>
  <r>
    <x v="2"/>
    <x v="239"/>
    <n v="189.3"/>
    <n v="168.76"/>
    <n v="201.42"/>
    <n v="168.57"/>
    <s v="645.62M"/>
    <n v="0.12039999999999999"/>
    <n v="0"/>
  </r>
  <r>
    <x v="3"/>
    <x v="89"/>
    <n v="31.09"/>
    <n v="28.89"/>
    <n v="33.450000000000003"/>
    <n v="25.52"/>
    <s v="667.98M"/>
    <n v="5.0500000000000003E-2"/>
    <n v="-0.30170472820842714"/>
  </r>
  <r>
    <x v="3"/>
    <x v="90"/>
    <n v="21.71"/>
    <n v="31.25"/>
    <n v="32.880000000000003"/>
    <n v="21.61"/>
    <s v="520.23M"/>
    <n v="-0.30180000000000001"/>
    <n v="-0.16812528788576703"/>
  </r>
  <r>
    <x v="3"/>
    <x v="91"/>
    <n v="18.059999999999999"/>
    <n v="21.5"/>
    <n v="22.45"/>
    <n v="18.03"/>
    <s v="1.15B"/>
    <n v="-0.16819999999999999"/>
    <n v="0.19933554817275756"/>
  </r>
  <r>
    <x v="3"/>
    <x v="92"/>
    <n v="21.66"/>
    <n v="18.079999999999998"/>
    <n v="23.37"/>
    <n v="17.55"/>
    <s v="1.06B"/>
    <n v="0.19950000000000001"/>
    <n v="-2.5392428439519884E-2"/>
  </r>
  <r>
    <x v="3"/>
    <x v="93"/>
    <n v="21.11"/>
    <n v="22.08"/>
    <n v="24.25"/>
    <n v="18.8"/>
    <s v="1.10B"/>
    <n v="-2.5399999999999999E-2"/>
    <n v="0.32638559924206539"/>
  </r>
  <r>
    <x v="3"/>
    <x v="94"/>
    <n v="28"/>
    <n v="21.08"/>
    <n v="28"/>
    <n v="18.87"/>
    <s v="1.53B"/>
    <n v="0.32640000000000002"/>
    <n v="-4.9285714285714252E-2"/>
  </r>
  <r>
    <x v="3"/>
    <x v="95"/>
    <n v="26.62"/>
    <n v="28"/>
    <n v="28.88"/>
    <n v="25.15"/>
    <s v="1.19B"/>
    <n v="-4.9299999999999997E-2"/>
    <n v="0.16378662659654392"/>
  </r>
  <r>
    <x v="3"/>
    <x v="96"/>
    <n v="30.98"/>
    <n v="27.44"/>
    <n v="32.51"/>
    <n v="27.42"/>
    <s v="1.68B"/>
    <n v="0.1638"/>
    <n v="-0.12040025823111686"/>
  </r>
  <r>
    <x v="3"/>
    <x v="97"/>
    <n v="27.25"/>
    <n v="31.01"/>
    <n v="31.02"/>
    <n v="26.34"/>
    <s v="957.66M"/>
    <n v="-0.12039999999999999"/>
    <n v="-6.1284403669724832E-2"/>
  </r>
  <r>
    <x v="3"/>
    <x v="98"/>
    <n v="25.58"/>
    <n v="27.05"/>
    <n v="28.67"/>
    <n v="24.72"/>
    <s v="727.18M"/>
    <n v="-6.13E-2"/>
    <n v="8.5613760750586451E-2"/>
  </r>
  <r>
    <x v="3"/>
    <x v="99"/>
    <n v="27.77"/>
    <n v="25.63"/>
    <n v="28.1"/>
    <n v="25.15"/>
    <s v="738.54M"/>
    <n v="8.5599999999999996E-2"/>
    <n v="-0.12315448325531142"/>
  </r>
  <r>
    <x v="3"/>
    <x v="100"/>
    <n v="24.35"/>
    <n v="27.85"/>
    <n v="29.07"/>
    <n v="23.26"/>
    <s v="982.14M"/>
    <n v="-0.1232"/>
    <n v="2.1765913757700105E-2"/>
  </r>
  <r>
    <x v="3"/>
    <x v="101"/>
    <n v="24.88"/>
    <n v="24.26"/>
    <n v="25.19"/>
    <n v="22.67"/>
    <s v="788.39M"/>
    <n v="2.18E-2"/>
    <n v="0.47909967845659157"/>
  </r>
  <r>
    <x v="3"/>
    <x v="102"/>
    <n v="36.799999999999997"/>
    <n v="24.97"/>
    <n v="38.31"/>
    <n v="24.15"/>
    <s v="1.44B"/>
    <n v="0.47910000000000003"/>
    <n v="0.12201086956521745"/>
  </r>
  <r>
    <x v="3"/>
    <x v="103"/>
    <n v="41.29"/>
    <n v="37.299999999999997"/>
    <n v="42.26"/>
    <n v="36.020000000000003"/>
    <s v="1.35B"/>
    <n v="0.1221"/>
    <n v="0.21651731654153544"/>
  </r>
  <r>
    <x v="3"/>
    <x v="104"/>
    <n v="50.23"/>
    <n v="41.84"/>
    <n v="51.6"/>
    <n v="41.44"/>
    <s v="1.58B"/>
    <n v="0.21640000000000001"/>
    <n v="-3.9816842524379895E-4"/>
  </r>
  <r>
    <x v="3"/>
    <x v="105"/>
    <n v="50.21"/>
    <n v="49.97"/>
    <n v="54.83"/>
    <n v="45.26"/>
    <s v="2.03B"/>
    <n v="-5.0000000000000001E-4"/>
    <n v="-6.373232423819962E-2"/>
  </r>
  <r>
    <x v="3"/>
    <x v="106"/>
    <n v="47.01"/>
    <n v="50.85"/>
    <n v="52.09"/>
    <n v="43.55"/>
    <s v="1.36B"/>
    <n v="-6.3600000000000004E-2"/>
    <n v="0.16251861306105087"/>
  </r>
  <r>
    <x v="3"/>
    <x v="107"/>
    <n v="54.65"/>
    <n v="46.9"/>
    <n v="58.58"/>
    <n v="46.26"/>
    <s v="1.52B"/>
    <n v="0.16250000000000001"/>
    <n v="0.14492223238792318"/>
  </r>
  <r>
    <x v="3"/>
    <x v="108"/>
    <n v="62.57"/>
    <n v="54.83"/>
    <n v="63.37"/>
    <n v="51.85"/>
    <s v="1.30B"/>
    <n v="0.1449"/>
    <n v="9.4134569282403602E-2"/>
  </r>
  <r>
    <x v="3"/>
    <x v="109"/>
    <n v="68.459999999999994"/>
    <n v="63.03"/>
    <n v="71.44"/>
    <n v="60.7"/>
    <s v="1.12B"/>
    <n v="9.4100000000000003E-2"/>
    <n v="-0.1200701139351445"/>
  </r>
  <r>
    <x v="3"/>
    <x v="110"/>
    <n v="60.24"/>
    <n v="66.959999999999994"/>
    <n v="72.59"/>
    <n v="57.98"/>
    <s v="1.26B"/>
    <n v="-0.1201"/>
    <n v="-7.6361221779548613E-3"/>
  </r>
  <r>
    <x v="3"/>
    <x v="111"/>
    <n v="59.78"/>
    <n v="60.46"/>
    <n v="63.91"/>
    <n v="54.66"/>
    <s v="1.88B"/>
    <n v="-7.6E-3"/>
    <n v="5.8882569421211041E-2"/>
  </r>
  <r>
    <x v="3"/>
    <x v="112"/>
    <n v="63.3"/>
    <n v="60.43"/>
    <n v="64.3"/>
    <n v="56.26"/>
    <s v="1.12B"/>
    <n v="5.8900000000000001E-2"/>
    <n v="6.3033175355450388E-2"/>
  </r>
  <r>
    <x v="3"/>
    <x v="113"/>
    <n v="67.290000000000006"/>
    <n v="63.23"/>
    <n v="68"/>
    <n v="61.79"/>
    <s v="863.49M"/>
    <n v="6.3E-2"/>
    <n v="7.9655223658790297E-2"/>
  </r>
  <r>
    <x v="3"/>
    <x v="114"/>
    <n v="72.650000000000006"/>
    <n v="67.58"/>
    <n v="76.739999999999995"/>
    <n v="62.21"/>
    <s v="1.03B"/>
    <n v="7.9699999999999993E-2"/>
    <n v="2.9869236063317098E-2"/>
  </r>
  <r>
    <x v="3"/>
    <x v="115"/>
    <n v="74.819999999999993"/>
    <n v="72.22"/>
    <n v="75.989999999999995"/>
    <n v="71.55"/>
    <s v="590.83M"/>
    <n v="2.9899999999999999E-2"/>
    <n v="5.640203154236853E-2"/>
  </r>
  <r>
    <x v="3"/>
    <x v="116"/>
    <n v="79.040000000000006"/>
    <n v="75.010000000000005"/>
    <n v="79.709999999999994"/>
    <n v="73.069999999999993"/>
    <s v="721.09M"/>
    <n v="5.6399999999999999E-2"/>
    <n v="-5.1239878542510262E-2"/>
  </r>
  <r>
    <x v="3"/>
    <x v="117"/>
    <n v="74.989999999999995"/>
    <n v="78.78"/>
    <n v="81.16"/>
    <n v="70.319999999999993"/>
    <s v="1.08B"/>
    <n v="-5.1200000000000002E-2"/>
    <n v="3.6138151753567251E-2"/>
  </r>
  <r>
    <x v="3"/>
    <x v="118"/>
    <n v="77.7"/>
    <n v="75.47"/>
    <n v="78.27"/>
    <n v="72.510000000000005"/>
    <s v="491.02M"/>
    <n v="3.61E-2"/>
    <n v="4.1184041184040305E-3"/>
  </r>
  <r>
    <x v="3"/>
    <x v="119"/>
    <n v="78.02"/>
    <n v="77.260000000000005"/>
    <n v="82.17"/>
    <n v="74.400000000000006"/>
    <s v="534.69M"/>
    <n v="4.1000000000000003E-3"/>
    <n v="-2.7044347603178667E-2"/>
  </r>
  <r>
    <x v="3"/>
    <x v="120"/>
    <n v="75.91"/>
    <n v="78.58"/>
    <n v="79.25"/>
    <n v="73.540000000000006"/>
    <s v="546.21M"/>
    <n v="-2.7E-2"/>
    <n v="4.0310894480305656E-2"/>
  </r>
  <r>
    <x v="3"/>
    <x v="121"/>
    <n v="78.97"/>
    <n v="76.11"/>
    <n v="81.37"/>
    <n v="73.45"/>
    <s v="475.15M"/>
    <n v="4.0300000000000002E-2"/>
    <n v="4.1028238571609407E-2"/>
  </r>
  <r>
    <x v="3"/>
    <x v="122"/>
    <n v="82.21"/>
    <n v="79"/>
    <n v="86.07"/>
    <n v="77.260000000000005"/>
    <s v="575.35M"/>
    <n v="4.1099999999999998E-2"/>
    <n v="-4.18440579004987E-2"/>
  </r>
  <r>
    <x v="3"/>
    <x v="123"/>
    <n v="78.77"/>
    <n v="82.5"/>
    <n v="85.59"/>
    <n v="78.319999999999993"/>
    <s v="542.12M"/>
    <n v="-4.19E-2"/>
    <n v="5.3319791798908433E-3"/>
  </r>
  <r>
    <x v="3"/>
    <x v="124"/>
    <n v="79.19"/>
    <n v="79.239999999999995"/>
    <n v="81.849999999999994"/>
    <n v="76.790000000000006"/>
    <s v="421.87M"/>
    <n v="5.3E-3"/>
    <n v="8.2965020835964229E-2"/>
  </r>
  <r>
    <x v="3"/>
    <x v="125"/>
    <n v="85.76"/>
    <n v="79.3"/>
    <n v="89.4"/>
    <n v="78.66"/>
    <s v="537.96M"/>
    <n v="8.3000000000000004E-2"/>
    <n v="9.6198694029850734E-2"/>
  </r>
  <r>
    <x v="3"/>
    <x v="126"/>
    <n v="94.01"/>
    <n v="86.77"/>
    <n v="99.24"/>
    <n v="85.23"/>
    <s v="790.78M"/>
    <n v="9.6100000000000005E-2"/>
    <n v="-4.8718221465801487E-2"/>
  </r>
  <r>
    <x v="3"/>
    <x v="127"/>
    <n v="89.43"/>
    <n v="93.53"/>
    <n v="98.74"/>
    <n v="72"/>
    <s v="709.96M"/>
    <n v="-4.87E-2"/>
    <n v="5.255507100525538E-3"/>
  </r>
  <r>
    <x v="3"/>
    <x v="128"/>
    <n v="89.9"/>
    <n v="86.85"/>
    <n v="96.49"/>
    <n v="85.72"/>
    <s v="635.40M"/>
    <n v="5.3E-3"/>
    <n v="0.1342602892102335"/>
  </r>
  <r>
    <x v="3"/>
    <x v="129"/>
    <n v="101.97"/>
    <n v="90.05"/>
    <n v="105.12"/>
    <n v="88.36"/>
    <s v="571.99M"/>
    <n v="0.1343"/>
    <n v="2.2261449445915425E-2"/>
  </r>
  <r>
    <x v="3"/>
    <x v="130"/>
    <n v="104.24"/>
    <n v="102.46"/>
    <n v="110.65"/>
    <n v="100.47"/>
    <s v="547.23M"/>
    <n v="2.23E-2"/>
    <n v="4.0291634689178981E-3"/>
  </r>
  <r>
    <x v="3"/>
    <x v="131"/>
    <n v="104.66"/>
    <n v="104.83"/>
    <n v="107.92"/>
    <n v="101.46"/>
    <s v="440.48M"/>
    <n v="4.0000000000000001E-3"/>
    <n v="7.2138352761322355E-2"/>
  </r>
  <r>
    <x v="3"/>
    <x v="132"/>
    <n v="112.21"/>
    <n v="101.95"/>
    <n v="112.84"/>
    <n v="89.37"/>
    <s v="792.71M"/>
    <n v="7.2099999999999997E-2"/>
    <n v="-4.7143748329025868E-2"/>
  </r>
  <r>
    <x v="3"/>
    <x v="133"/>
    <n v="106.92"/>
    <n v="112.27"/>
    <n v="117.59"/>
    <n v="96.82"/>
    <s v="874.15M"/>
    <n v="-4.7100000000000003E-2"/>
    <n v="6.7153011597455972E-2"/>
  </r>
  <r>
    <x v="3"/>
    <x v="134"/>
    <n v="114.1"/>
    <n v="107.83"/>
    <n v="116.99"/>
    <n v="104.4"/>
    <s v="521.56M"/>
    <n v="6.7199999999999996E-2"/>
    <n v="3.0499561787905381E-2"/>
  </r>
  <r>
    <x v="3"/>
    <x v="135"/>
    <n v="117.58"/>
    <n v="113.75"/>
    <n v="120.79"/>
    <n v="106.31"/>
    <s v="741.61M"/>
    <n v="3.0499999999999999E-2"/>
    <n v="1.0460962748766831E-2"/>
  </r>
  <r>
    <x v="3"/>
    <x v="136"/>
    <n v="118.81"/>
    <n v="117.83"/>
    <n v="121.08"/>
    <n v="114.8"/>
    <s v="460.56M"/>
    <n v="1.0500000000000001E-2"/>
    <n v="-3.8128103694975178E-2"/>
  </r>
  <r>
    <x v="3"/>
    <x v="137"/>
    <n v="114.28"/>
    <n v="118.5"/>
    <n v="119.44"/>
    <n v="108.23"/>
    <s v="451.16M"/>
    <n v="-3.8100000000000002E-2"/>
    <n v="8.4529226461323034E-2"/>
  </r>
  <r>
    <x v="3"/>
    <x v="138"/>
    <n v="123.94"/>
    <n v="114.2"/>
    <n v="128.33000000000001"/>
    <n v="112.97"/>
    <s v="470.11M"/>
    <n v="8.4500000000000006E-2"/>
    <n v="1.7589156043246786E-2"/>
  </r>
  <r>
    <x v="3"/>
    <x v="139"/>
    <n v="126.12"/>
    <n v="123.85"/>
    <n v="126.73"/>
    <n v="122.07"/>
    <s v="365.67M"/>
    <n v="1.7600000000000001E-2"/>
    <n v="1.7047256581033982E-2"/>
  </r>
  <r>
    <x v="3"/>
    <x v="140"/>
    <n v="128.27000000000001"/>
    <n v="126.38"/>
    <n v="131.97999999999999"/>
    <n v="125.6"/>
    <s v="376.58M"/>
    <n v="1.7000000000000001E-2"/>
    <n v="2.1205270133312533E-2"/>
  </r>
  <r>
    <x v="3"/>
    <x v="141"/>
    <n v="130.99"/>
    <n v="128.38"/>
    <n v="133.5"/>
    <n v="126.75"/>
    <s v="313.28M"/>
    <n v="2.12E-2"/>
    <n v="-9.5961523780441302E-2"/>
  </r>
  <r>
    <x v="3"/>
    <x v="142"/>
    <n v="118.42"/>
    <n v="131.41"/>
    <n v="131.94"/>
    <n v="113.55"/>
    <s v="654.60M"/>
    <n v="-9.6000000000000002E-2"/>
    <n v="-2.8458030738051043E-2"/>
  </r>
  <r>
    <x v="3"/>
    <x v="143"/>
    <n v="115.05"/>
    <n v="118.38"/>
    <n v="122.5"/>
    <n v="114"/>
    <s v="408.73M"/>
    <n v="-2.8500000000000001E-2"/>
    <n v="0.1327249022164276"/>
  </r>
  <r>
    <x v="3"/>
    <x v="144"/>
    <n v="130.32"/>
    <n v="116.03"/>
    <n v="133.13999999999999"/>
    <n v="115.51"/>
    <s v="379.00M"/>
    <n v="0.13270000000000001"/>
    <n v="4.0055248618784525E-2"/>
  </r>
  <r>
    <x v="3"/>
    <x v="145"/>
    <n v="135.54"/>
    <n v="132.25"/>
    <n v="137.18"/>
    <n v="130.30000000000001"/>
    <s v="384.70M"/>
    <n v="4.0099999999999997E-2"/>
    <n v="4.803010181496252E-2"/>
  </r>
  <r>
    <x v="3"/>
    <x v="146"/>
    <n v="142.05000000000001"/>
    <n v="136.47"/>
    <n v="142.94999999999999"/>
    <n v="136.08000000000001"/>
    <s v="342.10M"/>
    <n v="4.8000000000000001E-2"/>
    <n v="5.7726152763111493E-2"/>
  </r>
  <r>
    <x v="3"/>
    <x v="147"/>
    <n v="150.25"/>
    <n v="141.93"/>
    <n v="151.53"/>
    <n v="138.81"/>
    <s v="275.59M"/>
    <n v="5.7700000000000001E-2"/>
    <n v="8.053244592346142E-3"/>
  </r>
  <r>
    <x v="3"/>
    <x v="148"/>
    <n v="151.46"/>
    <n v="151.74"/>
    <n v="153.6"/>
    <n v="144.41999999999999"/>
    <s v="403.66M"/>
    <n v="8.0999999999999996E-3"/>
    <n v="-3.1691535719002915E-3"/>
  </r>
  <r>
    <x v="3"/>
    <x v="149"/>
    <n v="150.97999999999999"/>
    <n v="151.75"/>
    <n v="156.5"/>
    <n v="144.56"/>
    <s v="414.76M"/>
    <n v="-3.2000000000000002E-3"/>
    <n v="0.12100940521923441"/>
  </r>
  <r>
    <x v="3"/>
    <x v="150"/>
    <n v="169.25"/>
    <n v="151.72"/>
    <n v="175.49"/>
    <n v="147.80000000000001"/>
    <s v="419.91M"/>
    <n v="0.121"/>
    <n v="1.6070901033973406E-2"/>
  </r>
  <r>
    <x v="3"/>
    <x v="151"/>
    <n v="171.97"/>
    <n v="169.82"/>
    <n v="173.05"/>
    <n v="165"/>
    <s v="303.62M"/>
    <n v="1.61E-2"/>
    <n v="-6.3964644996219941E-3"/>
  </r>
  <r>
    <x v="3"/>
    <x v="152"/>
    <n v="170.87"/>
    <n v="172.4"/>
    <n v="174"/>
    <n v="161.56"/>
    <s v="304.83M"/>
    <n v="-6.4000000000000003E-3"/>
    <n v="5.3783578158834187E-2"/>
  </r>
  <r>
    <x v="3"/>
    <x v="153"/>
    <n v="180.06"/>
    <n v="171.39"/>
    <n v="180.8"/>
    <n v="168.29"/>
    <s v="318.15M"/>
    <n v="5.3800000000000001E-2"/>
    <n v="-1.5994668443852025E-2"/>
  </r>
  <r>
    <x v="3"/>
    <x v="154"/>
    <n v="177.18"/>
    <n v="182.36"/>
    <n v="184.25"/>
    <n v="174"/>
    <s v="351.00M"/>
    <n v="-1.6E-2"/>
    <n v="-4.0636640704368376E-3"/>
  </r>
  <r>
    <x v="3"/>
    <x v="155"/>
    <n v="176.46"/>
    <n v="176.03"/>
    <n v="182.28"/>
    <n v="169.01"/>
    <s v="317.10M"/>
    <n v="-4.1000000000000003E-3"/>
    <n v="5.9106879746117974E-2"/>
  </r>
  <r>
    <x v="3"/>
    <x v="156"/>
    <n v="186.89"/>
    <n v="177.68"/>
    <n v="190.66"/>
    <n v="175.8"/>
    <s v="495.66M"/>
    <n v="5.91E-2"/>
    <n v="-4.5855851035368364E-2"/>
  </r>
  <r>
    <x v="3"/>
    <x v="157"/>
    <n v="178.32"/>
    <n v="188.22"/>
    <n v="195.32"/>
    <n v="167.18"/>
    <s v="516.62M"/>
    <n v="-4.5900000000000003E-2"/>
    <n v="-0.10391431135038134"/>
  </r>
  <r>
    <x v="3"/>
    <x v="158"/>
    <n v="159.79"/>
    <n v="179.01"/>
    <n v="186.1"/>
    <n v="149.02000000000001"/>
    <s v="996.23M"/>
    <n v="-0.10390000000000001"/>
    <n v="7.6412791789223403E-2"/>
  </r>
  <r>
    <x v="3"/>
    <x v="159"/>
    <n v="172"/>
    <n v="157.81"/>
    <n v="177.1"/>
    <n v="150.51"/>
    <s v="751.13M"/>
    <n v="7.6399999999999996E-2"/>
    <n v="0.115"/>
  </r>
  <r>
    <x v="3"/>
    <x v="160"/>
    <n v="191.78"/>
    <n v="172"/>
    <n v="192.72"/>
    <n v="170.23"/>
    <s v="401.14M"/>
    <n v="0.115"/>
    <n v="1.3244342475753425E-2"/>
  </r>
  <r>
    <x v="3"/>
    <x v="161"/>
    <n v="194.32"/>
    <n v="193.07"/>
    <n v="203.55"/>
    <n v="186.43"/>
    <s v="387.27M"/>
    <n v="1.32E-2"/>
    <n v="-0.11187731576780559"/>
  </r>
  <r>
    <x v="3"/>
    <x v="162"/>
    <n v="172.58"/>
    <n v="193.37"/>
    <n v="218.62"/>
    <n v="166.56"/>
    <s v="652.76M"/>
    <n v="-0.1119"/>
    <n v="1.825240468188653E-2"/>
  </r>
  <r>
    <x v="3"/>
    <x v="163"/>
    <n v="175.73"/>
    <n v="173.93"/>
    <n v="188.3"/>
    <n v="170.27"/>
    <s v="549.02M"/>
    <n v="1.83E-2"/>
    <n v="-6.4132475957434598E-2"/>
  </r>
  <r>
    <x v="3"/>
    <x v="164"/>
    <n v="164.46"/>
    <n v="173.5"/>
    <n v="173.89"/>
    <n v="158.87"/>
    <s v="500.47M"/>
    <n v="-6.4100000000000004E-2"/>
    <n v="-7.7040009728809533E-2"/>
  </r>
  <r>
    <x v="3"/>
    <x v="165"/>
    <n v="151.79"/>
    <n v="163.03"/>
    <n v="165.88"/>
    <n v="139.03"/>
    <s v="622.45M"/>
    <n v="-7.6999999999999999E-2"/>
    <n v="-7.365439093484405E-2"/>
  </r>
  <r>
    <x v="3"/>
    <x v="166"/>
    <n v="140.61000000000001"/>
    <n v="151.52000000000001"/>
    <n v="154.13"/>
    <n v="126.85"/>
    <s v="518.15M"/>
    <n v="-7.3700000000000002E-2"/>
    <n v="-6.7704999644406585E-2"/>
  </r>
  <r>
    <x v="3"/>
    <x v="167"/>
    <n v="131.09"/>
    <n v="143"/>
    <n v="147.19"/>
    <n v="123.02"/>
    <s v="558.79M"/>
    <n v="-6.7699999999999996E-2"/>
    <n v="0.27156915096498585"/>
  </r>
  <r>
    <x v="3"/>
    <x v="168"/>
    <n v="166.69"/>
    <n v="128.99"/>
    <n v="171.68"/>
    <n v="128.56"/>
    <s v="527.56M"/>
    <n v="0.27160000000000001"/>
    <n v="-3.1435599016137794E-2"/>
  </r>
  <r>
    <x v="3"/>
    <x v="169"/>
    <n v="161.44999999999999"/>
    <n v="165.84"/>
    <n v="172.47"/>
    <n v="159.59"/>
    <s v="302.24M"/>
    <n v="-3.1399999999999997E-2"/>
    <n v="3.2455868689996961E-2"/>
  </r>
  <r>
    <x v="3"/>
    <x v="170"/>
    <n v="166.69"/>
    <n v="162.6"/>
    <n v="174.3"/>
    <n v="159.28"/>
    <s v="388.17M"/>
    <n v="3.2500000000000001E-2"/>
    <n v="0.16023756674065637"/>
  </r>
  <r>
    <x v="3"/>
    <x v="171"/>
    <n v="193.4"/>
    <n v="167.83"/>
    <n v="198.48"/>
    <n v="167.28"/>
    <s v="382.18M"/>
    <n v="0.16020000000000001"/>
    <n v="-8.2368148914167563E-2"/>
  </r>
  <r>
    <x v="3"/>
    <x v="172"/>
    <n v="177.47"/>
    <n v="194.78"/>
    <n v="196.18"/>
    <n v="177.16"/>
    <s v="286.82M"/>
    <n v="-8.2400000000000001E-2"/>
    <n v="8.7507747788358597E-2"/>
  </r>
  <r>
    <x v="3"/>
    <x v="173"/>
    <n v="193"/>
    <n v="175"/>
    <n v="194.53"/>
    <n v="160.84"/>
    <s v="426.43M"/>
    <n v="8.7499999999999994E-2"/>
    <n v="6.3730569948186001E-3"/>
  </r>
  <r>
    <x v="3"/>
    <x v="174"/>
    <n v="194.23"/>
    <n v="195.21"/>
    <n v="208.66"/>
    <n v="191.93"/>
    <s v="351.06M"/>
    <n v="6.4000000000000003E-3"/>
    <n v="-4.407146166915514E-2"/>
  </r>
  <r>
    <x v="3"/>
    <x v="175"/>
    <n v="185.67"/>
    <n v="194.17"/>
    <n v="198.47"/>
    <n v="176.66"/>
    <s v="295.18M"/>
    <n v="-4.41E-2"/>
    <n v="-4.0878978833413987E-2"/>
  </r>
  <r>
    <x v="3"/>
    <x v="176"/>
    <n v="178.08"/>
    <n v="184"/>
    <n v="193.1"/>
    <n v="175.66"/>
    <s v="267.51M"/>
    <n v="-4.0899999999999999E-2"/>
    <n v="7.6201707097933474E-2"/>
  </r>
  <r>
    <x v="3"/>
    <x v="177"/>
    <n v="191.65"/>
    <n v="179.15"/>
    <n v="198.09"/>
    <n v="173.09"/>
    <s v="330.15M"/>
    <n v="7.6200000000000004E-2"/>
    <n v="5.2126271849725958E-2"/>
  </r>
  <r>
    <x v="3"/>
    <x v="178"/>
    <n v="201.64"/>
    <n v="192.85"/>
    <n v="203.8"/>
    <n v="188.54"/>
    <s v="258.58M"/>
    <n v="5.21E-2"/>
    <n v="1.7903193810751904E-2"/>
  </r>
  <r>
    <x v="3"/>
    <x v="179"/>
    <n v="205.25"/>
    <n v="202.13"/>
    <n v="208.93"/>
    <n v="193.17"/>
    <s v="278.23M"/>
    <n v="1.7899999999999999E-2"/>
    <n v="-1.627283800243607E-2"/>
  </r>
  <r>
    <x v="3"/>
    <x v="180"/>
    <n v="201.91"/>
    <n v="206.75"/>
    <n v="224.2"/>
    <n v="201.06"/>
    <s v="348.10M"/>
    <n v="-1.6299999999999999E-2"/>
    <n v="-4.6753504036451871E-2"/>
  </r>
  <r>
    <x v="3"/>
    <x v="181"/>
    <n v="192.47"/>
    <n v="203.44"/>
    <n v="218.76"/>
    <n v="181.82"/>
    <s v="317.64M"/>
    <n v="-4.6800000000000001E-2"/>
    <n v="-0.13337143450927411"/>
  </r>
  <r>
    <x v="3"/>
    <x v="182"/>
    <n v="166.8"/>
    <n v="194.03"/>
    <n v="197.24"/>
    <n v="137.1"/>
    <s v="649.51M"/>
    <n v="-0.13339999999999999"/>
    <n v="0.22727817745803353"/>
  </r>
  <r>
    <x v="3"/>
    <x v="183"/>
    <n v="204.71"/>
    <n v="161.62"/>
    <n v="209.69"/>
    <n v="150.83000000000001"/>
    <s v="541.54M"/>
    <n v="0.2273"/>
    <n v="9.9555468711836237E-2"/>
  </r>
  <r>
    <x v="3"/>
    <x v="184"/>
    <n v="225.09"/>
    <n v="201.6"/>
    <n v="240.9"/>
    <n v="198.76"/>
    <s v="509.64M"/>
    <n v="9.9599999999999994E-2"/>
    <n v="8.7964814074369801E-3"/>
  </r>
  <r>
    <x v="3"/>
    <x v="185"/>
    <n v="227.07"/>
    <n v="224.59"/>
    <n v="245.19"/>
    <n v="207.11"/>
    <s v="548.04M"/>
    <n v="8.8000000000000005E-3"/>
    <n v="0.11714449288765577"/>
  </r>
  <r>
    <x v="3"/>
    <x v="186"/>
    <n v="253.67"/>
    <n v="228.5"/>
    <n v="255.85"/>
    <n v="226.9"/>
    <s v="517.67M"/>
    <n v="0.1171"/>
    <n v="0.15583238065202823"/>
  </r>
  <r>
    <x v="3"/>
    <x v="187"/>
    <n v="293.2"/>
    <n v="252.65"/>
    <n v="304.67"/>
    <n v="247.43"/>
    <s v="574.31M"/>
    <n v="0.15579999999999999"/>
    <n v="-0.10675306957708053"/>
  </r>
  <r>
    <x v="3"/>
    <x v="188"/>
    <n v="261.89999999999998"/>
    <n v="294.70999999999998"/>
    <n v="303.60000000000002"/>
    <n v="244.13"/>
    <s v="499.18M"/>
    <n v="-0.10680000000000001"/>
    <n v="4.6200840015274396E-3"/>
  </r>
  <r>
    <x v="3"/>
    <x v="189"/>
    <n v="263.11"/>
    <n v="265.35000000000002"/>
    <n v="285.24"/>
    <n v="254.82"/>
    <s v="454.18M"/>
    <n v="4.5999999999999999E-3"/>
    <n v="5.2677587320892449E-2"/>
  </r>
  <r>
    <x v="3"/>
    <x v="190"/>
    <n v="276.97000000000003"/>
    <n v="264.60000000000002"/>
    <n v="297.38"/>
    <n v="257.33999999999997"/>
    <s v="356.80M"/>
    <n v="5.2699999999999997E-2"/>
    <n v="-1.3756002455139553E-2"/>
  </r>
  <r>
    <x v="3"/>
    <x v="191"/>
    <n v="273.16000000000003"/>
    <n v="279.16000000000003"/>
    <n v="291.77999999999997"/>
    <n v="264.63"/>
    <s v="363.96M"/>
    <n v="-1.38E-2"/>
    <n v="-5.4290525699224046E-2"/>
  </r>
  <r>
    <x v="3"/>
    <x v="192"/>
    <n v="258.33"/>
    <n v="274.77999999999997"/>
    <n v="286.79000000000002"/>
    <n v="244.61"/>
    <s v="452.70M"/>
    <n v="-5.4300000000000001E-2"/>
    <n v="-2.7484225602910214E-3"/>
  </r>
  <r>
    <x v="3"/>
    <x v="193"/>
    <n v="257.62"/>
    <n v="259.52"/>
    <n v="276.60000000000002"/>
    <n v="254.04"/>
    <s v="317.78M"/>
    <n v="-2.7000000000000001E-3"/>
    <n v="0.14327303780762352"/>
  </r>
  <r>
    <x v="3"/>
    <x v="194"/>
    <n v="294.52999999999997"/>
    <n v="260.82"/>
    <n v="299.7"/>
    <n v="253.5"/>
    <s v="497.46M"/>
    <n v="0.14330000000000001"/>
    <n v="0.10372457814144574"/>
  </r>
  <r>
    <x v="3"/>
    <x v="195"/>
    <n v="325.08"/>
    <n v="298.39999999999998"/>
    <n v="331.81"/>
    <n v="296.04000000000002"/>
    <s v="421.28M"/>
    <n v="0.1037"/>
    <n v="1.1228005414052031E-2"/>
  </r>
  <r>
    <x v="3"/>
    <x v="196"/>
    <n v="328.73"/>
    <n v="326.17"/>
    <n v="333.78"/>
    <n v="298.19"/>
    <s v="353.42M"/>
    <n v="1.12E-2"/>
    <n v="5.7737352842758376E-2"/>
  </r>
  <r>
    <x v="3"/>
    <x v="197"/>
    <n v="347.71"/>
    <n v="330.15"/>
    <n v="358.14"/>
    <n v="323.48"/>
    <s v="344.81M"/>
    <n v="5.7700000000000001E-2"/>
    <n v="2.4704495125248145E-2"/>
  </r>
  <r>
    <x v="3"/>
    <x v="198"/>
    <n v="356.3"/>
    <n v="346.82"/>
    <n v="377.55"/>
    <n v="334.5"/>
    <s v="335.42M"/>
    <n v="2.47E-2"/>
    <n v="6.4776873421274167E-2"/>
  </r>
  <r>
    <x v="3"/>
    <x v="199"/>
    <n v="379.38"/>
    <n v="358.1"/>
    <n v="382.76"/>
    <n v="347.7"/>
    <s v="226.15M"/>
    <n v="6.4799999999999996E-2"/>
    <n v="-0.10540882492487745"/>
  </r>
  <r>
    <x v="3"/>
    <x v="200"/>
    <n v="339.39"/>
    <n v="379.59"/>
    <n v="384.33"/>
    <n v="338.15"/>
    <s v="338.13M"/>
    <n v="-0.10539999999999999"/>
    <n v="-4.6613041044226387E-2"/>
  </r>
  <r>
    <x v="3"/>
    <x v="201"/>
    <n v="323.57"/>
    <n v="341.61"/>
    <n v="345.02"/>
    <n v="308.11"/>
    <s v="588.38M"/>
    <n v="-4.6600000000000003E-2"/>
    <n v="2.7505640201501572E-3"/>
  </r>
  <r>
    <x v="3"/>
    <x v="202"/>
    <n v="324.45999999999998"/>
    <n v="326.04000000000002"/>
    <n v="353.83"/>
    <n v="323.2"/>
    <s v="441.12M"/>
    <n v="2.8E-3"/>
    <n v="3.6645503297787228E-2"/>
  </r>
  <r>
    <x v="3"/>
    <x v="203"/>
    <n v="336.35"/>
    <n v="330.29"/>
    <n v="352.71"/>
    <n v="299.5"/>
    <s v="438.30M"/>
    <n v="3.6600000000000001E-2"/>
    <n v="-6.864872900252722E-2"/>
  </r>
  <r>
    <x v="3"/>
    <x v="204"/>
    <n v="313.26"/>
    <n v="338.3"/>
    <n v="343.09"/>
    <n v="289.01"/>
    <s v="427.35M"/>
    <n v="-6.8599999999999994E-2"/>
    <n v="-0.32634233544020941"/>
  </r>
  <r>
    <x v="3"/>
    <x v="205"/>
    <n v="211.03"/>
    <n v="314.55"/>
    <n v="328"/>
    <n v="190.22"/>
    <s v="1.13B"/>
    <n v="-0.32629999999999998"/>
    <n v="5.3689048950386259E-2"/>
  </r>
  <r>
    <x v="3"/>
    <x v="206"/>
    <n v="222.36"/>
    <n v="209.87"/>
    <n v="231.15"/>
    <n v="185.82"/>
    <s v="733.29M"/>
    <n v="5.3699999999999998E-2"/>
    <n v="-9.844396474186011E-2"/>
  </r>
  <r>
    <x v="3"/>
    <x v="207"/>
    <n v="200.47"/>
    <n v="224.55"/>
    <n v="236.86"/>
    <n v="169"/>
    <s v="672.30M"/>
    <n v="-9.8400000000000001E-2"/>
    <n v="-3.4069935651219699E-2"/>
  </r>
  <r>
    <x v="3"/>
    <x v="208"/>
    <n v="193.64"/>
    <n v="201.16"/>
    <n v="224.3"/>
    <n v="176.11"/>
    <s v="680.55M"/>
    <n v="-3.4099999999999998E-2"/>
    <n v="-0.16726915926461469"/>
  </r>
  <r>
    <x v="3"/>
    <x v="209"/>
    <n v="161.25"/>
    <n v="196.51"/>
    <n v="202.03"/>
    <n v="154.25"/>
    <s v="686.38M"/>
    <n v="-0.1673"/>
    <n v="-1.3333333333333369E-2"/>
  </r>
  <r>
    <x v="3"/>
    <x v="210"/>
    <n v="159.1"/>
    <n v="160.31"/>
    <n v="183.85"/>
    <n v="154.85"/>
    <s v="586.55M"/>
    <n v="-1.3299999999999999E-2"/>
    <n v="2.4072910119421826E-2"/>
  </r>
  <r>
    <x v="3"/>
    <x v="211"/>
    <n v="162.93"/>
    <n v="157.25"/>
    <n v="183.1"/>
    <n v="155.22999999999999"/>
    <s v="551.92M"/>
    <n v="2.41E-2"/>
    <n v="-0.16724973915178296"/>
  </r>
  <r>
    <x v="3"/>
    <x v="212"/>
    <n v="135.68"/>
    <n v="163.58000000000001"/>
    <n v="171.39"/>
    <n v="134.12"/>
    <s v="635.06M"/>
    <n v="-0.16719999999999999"/>
    <n v="-0.31338443396226423"/>
  </r>
  <r>
    <x v="3"/>
    <x v="213"/>
    <n v="93.16"/>
    <n v="137.13999999999999"/>
    <n v="142.38999999999999"/>
    <n v="92.6"/>
    <s v="1.11B"/>
    <n v="-0.31340000000000001"/>
    <n v="0.26771146414770286"/>
  </r>
  <r>
    <x v="3"/>
    <x v="214"/>
    <n v="118.1"/>
    <n v="94.33"/>
    <n v="118.74"/>
    <n v="88.09"/>
    <s v="1.06B"/>
    <n v="0.26769999999999999"/>
    <n v="1.8966977138018707E-2"/>
  </r>
  <r>
    <x v="3"/>
    <x v="215"/>
    <n v="120.34"/>
    <n v="119.2"/>
    <n v="124.67"/>
    <n v="112.46"/>
    <s v="653.02M"/>
    <n v="1.9E-2"/>
    <n v="0.23790925710486949"/>
  </r>
  <r>
    <x v="3"/>
    <x v="216"/>
    <n v="148.97"/>
    <n v="122.82"/>
    <n v="153.19"/>
    <n v="122.28"/>
    <s v="548.77M"/>
    <n v="0.2379"/>
    <n v="0.17433040209438141"/>
  </r>
  <r>
    <x v="3"/>
    <x v="217"/>
    <n v="174.94"/>
    <n v="148.03"/>
    <n v="197.16"/>
    <n v="147.06"/>
    <s v="772.20M"/>
    <n v="0.17430000000000001"/>
    <n v="0.2115010860866583"/>
  </r>
  <r>
    <x v="3"/>
    <x v="218"/>
    <n v="211.94"/>
    <n v="174.59"/>
    <n v="212.17"/>
    <n v="171.43"/>
    <s v="690.45M"/>
    <n v="0.21149999999999999"/>
    <n v="0.13390582240256674"/>
  </r>
  <r>
    <x v="3"/>
    <x v="219"/>
    <n v="240.32"/>
    <n v="208.84"/>
    <n v="241.68"/>
    <n v="207.13"/>
    <s v="446.69M"/>
    <n v="0.13389999999999999"/>
    <n v="0.10153129161118524"/>
  </r>
  <r>
    <x v="3"/>
    <x v="220"/>
    <n v="264.72000000000003"/>
    <n v="238.62"/>
    <n v="268.64999999999998"/>
    <n v="229.85"/>
    <s v="487.17M"/>
    <n v="0.10150000000000001"/>
    <n v="8.4088848594741569E-2"/>
  </r>
  <r>
    <x v="3"/>
    <x v="221"/>
    <n v="286.98"/>
    <n v="265.89999999999998"/>
    <n v="289.79000000000002"/>
    <n v="258.88"/>
    <s v="481.18M"/>
    <n v="8.4099999999999994E-2"/>
    <n v="0.11018189420865566"/>
  </r>
  <r>
    <x v="3"/>
    <x v="222"/>
    <n v="318.60000000000002"/>
    <n v="286.7"/>
    <n v="326.2"/>
    <n v="284.85000000000002"/>
    <s v="625.34M"/>
    <n v="0.11020000000000001"/>
    <n v="-7.1280602636534948E-2"/>
  </r>
  <r>
    <x v="3"/>
    <x v="223"/>
    <n v="295.89"/>
    <n v="317.54000000000002"/>
    <n v="324.14"/>
    <n v="274.38"/>
    <s v="424.63M"/>
    <n v="-7.1300000000000002E-2"/>
    <n v="1.4600020277805919E-2"/>
  </r>
  <r>
    <x v="3"/>
    <x v="224"/>
    <n v="300.20999999999998"/>
    <n v="299.37"/>
    <n v="312.87"/>
    <n v="286.79000000000002"/>
    <s v="406.80M"/>
    <n v="1.46E-2"/>
    <n v="3.5308617301222558E-3"/>
  </r>
  <r>
    <x v="3"/>
    <x v="225"/>
    <n v="301.27"/>
    <n v="302.74"/>
    <n v="330.54"/>
    <n v="279.39999999999998"/>
    <s v="511.37M"/>
    <n v="3.5000000000000001E-3"/>
    <n v="8.5903010588508633E-2"/>
  </r>
  <r>
    <x v="3"/>
    <x v="226"/>
    <n v="327.14999999999998"/>
    <n v="301.85000000000002"/>
    <n v="342.92"/>
    <n v="301.85000000000002"/>
    <s v="329.35M"/>
    <n v="8.5900000000000004E-2"/>
    <n v="8.1950175760354585E-2"/>
  </r>
  <r>
    <x v="3"/>
    <x v="227"/>
    <n v="353.96"/>
    <n v="325.48"/>
    <n v="361.9"/>
    <n v="313.66000000000003"/>
    <s v="334.63M"/>
    <n v="8.2000000000000003E-2"/>
    <n v="0.10221493954119112"/>
  </r>
  <r>
    <x v="3"/>
    <x v="228"/>
    <n v="390.14"/>
    <n v="351.32"/>
    <n v="406.36"/>
    <n v="340.01"/>
    <s v="346.97M"/>
    <n v="0.1022"/>
    <n v="0.25629261290818683"/>
  </r>
  <r>
    <x v="3"/>
    <x v="229"/>
    <n v="490.13"/>
    <n v="393.94"/>
    <n v="494.36"/>
    <n v="393.05"/>
    <s v="466.26M"/>
    <n v="0.25629999999999997"/>
    <n v="-9.2832513822863547E-3"/>
  </r>
  <r>
    <x v="3"/>
    <x v="230"/>
    <n v="485.58"/>
    <n v="492.11"/>
    <n v="523.57000000000005"/>
    <n v="476"/>
    <s v="279.21M"/>
    <n v="-9.2999999999999992E-3"/>
    <n v="-0.11411096008896571"/>
  </r>
  <r>
    <x v="3"/>
    <x v="231"/>
    <n v="430.17"/>
    <n v="487.2"/>
    <n v="531.49"/>
    <n v="414.5"/>
    <s v="437.30M"/>
    <n v="-0.11409999999999999"/>
    <n v="8.5222121486853958E-2"/>
  </r>
  <r>
    <x v="3"/>
    <x v="232"/>
    <n v="466.83"/>
    <n v="428.6"/>
    <n v="482.5"/>
    <n v="427.11"/>
    <s v="282.49M"/>
    <n v="8.5199999999999998E-2"/>
    <n v="8.0093395882869664E-2"/>
  </r>
  <r>
    <x v="3"/>
    <x v="233"/>
    <n v="504.22"/>
    <n v="470.86"/>
    <n v="522.88"/>
    <n v="468.24"/>
    <s v="226.95M"/>
    <n v="8.0100000000000005E-2"/>
    <n v="-5.8288048867557896E-2"/>
  </r>
  <r>
    <x v="3"/>
    <x v="234"/>
    <n v="474.83"/>
    <n v="504.95"/>
    <n v="542.80999999999995"/>
    <n v="442.65"/>
    <s v="324.02M"/>
    <n v="-5.8299999999999998E-2"/>
    <n v="9.7887665059073689E-2"/>
  </r>
  <r>
    <x v="3"/>
    <x v="235"/>
    <n v="521.30999999999995"/>
    <n v="521"/>
    <n v="544.23"/>
    <n v="450.8"/>
    <s v="323.38M"/>
    <n v="9.7900000000000001E-2"/>
    <n v="9.8079837332873177E-2"/>
  </r>
  <r>
    <x v="3"/>
    <x v="236"/>
    <n v="572.44000000000005"/>
    <n v="519.64"/>
    <n v="577.4"/>
    <n v="495.6"/>
    <s v="246.45M"/>
    <n v="9.8100000000000007E-2"/>
    <n v="-8.4899727482356455E-3"/>
  </r>
  <r>
    <x v="3"/>
    <x v="237"/>
    <n v="567.58000000000004"/>
    <n v="577.98"/>
    <n v="602.95000000000005"/>
    <n v="561.52"/>
    <s v="265.91M"/>
    <n v="-8.5000000000000006E-3"/>
    <n v="1.1874977976672908E-2"/>
  </r>
  <r>
    <x v="3"/>
    <x v="238"/>
    <n v="574.32000000000005"/>
    <n v="567.6"/>
    <n v="599.66"/>
    <n v="549.04999999999995"/>
    <s v="237.81M"/>
    <n v="1.1900000000000001E-2"/>
    <n v="1.9483911408274029E-2"/>
  </r>
  <r>
    <x v="3"/>
    <x v="239"/>
    <n v="585.51"/>
    <n v="577.5"/>
    <n v="638.4"/>
    <n v="575.57000000000005"/>
    <s v="6.02M"/>
    <n v="1.95E-2"/>
    <n v="0"/>
  </r>
  <r>
    <x v="4"/>
    <x v="0"/>
    <n v="26.28"/>
    <n v="26.8"/>
    <n v="27.1"/>
    <n v="25.64"/>
    <s v="1.53B"/>
    <n v="-1.6500000000000001E-2"/>
    <n v="-4.2617960426179644E-2"/>
  </r>
  <r>
    <x v="4"/>
    <x v="1"/>
    <n v="25.16"/>
    <n v="26.25"/>
    <n v="26.5"/>
    <n v="25.13"/>
    <s v="1.37B"/>
    <n v="-4.2599999999999999E-2"/>
    <n v="-3.9348171701112815E-2"/>
  </r>
  <r>
    <x v="4"/>
    <x v="2"/>
    <n v="24.17"/>
    <n v="25.19"/>
    <n v="25.79"/>
    <n v="23.82"/>
    <s v="1.57B"/>
    <n v="-3.9300000000000002E-2"/>
    <n v="4.6752172114191103E-2"/>
  </r>
  <r>
    <x v="4"/>
    <x v="3"/>
    <n v="25.3"/>
    <n v="24.24"/>
    <n v="25.45"/>
    <n v="23.94"/>
    <s v="1.53B"/>
    <n v="4.6800000000000001E-2"/>
    <n v="1.9762845849802372E-2"/>
  </r>
  <r>
    <x v="4"/>
    <x v="4"/>
    <n v="25.8"/>
    <n v="25.23"/>
    <n v="26.09"/>
    <n v="24.64"/>
    <s v="1.27B"/>
    <n v="1.9800000000000002E-2"/>
    <n v="-3.720930232558143E-2"/>
  </r>
  <r>
    <x v="4"/>
    <x v="5"/>
    <n v="24.84"/>
    <n v="25.73"/>
    <n v="26"/>
    <n v="24.82"/>
    <s v="1.32B"/>
    <n v="-3.7199999999999997E-2"/>
    <n v="3.0998389694041849E-2"/>
  </r>
  <r>
    <x v="4"/>
    <x v="6"/>
    <n v="25.61"/>
    <n v="24.85"/>
    <n v="26.48"/>
    <n v="24.5"/>
    <s v="1.33B"/>
    <n v="3.1E-2"/>
    <n v="6.9113627489261989E-2"/>
  </r>
  <r>
    <x v="4"/>
    <x v="7"/>
    <n v="27.38"/>
    <n v="25.81"/>
    <n v="27.94"/>
    <n v="25.76"/>
    <s v="1.45B"/>
    <n v="6.9099999999999995E-2"/>
    <n v="-6.0262965668371027E-2"/>
  </r>
  <r>
    <x v="4"/>
    <x v="8"/>
    <n v="25.73"/>
    <n v="27.38"/>
    <n v="27.39"/>
    <n v="25.12"/>
    <s v="1.35B"/>
    <n v="-6.0299999999999999E-2"/>
    <n v="-1.1659541391372381E-3"/>
  </r>
  <r>
    <x v="4"/>
    <x v="9"/>
    <n v="25.7"/>
    <n v="25.71"/>
    <n v="25.8"/>
    <n v="24.25"/>
    <s v="1.45B"/>
    <n v="-1.1999999999999999E-3"/>
    <n v="7.7042801556420251E-2"/>
  </r>
  <r>
    <x v="4"/>
    <x v="10"/>
    <n v="27.68"/>
    <n v="25.61"/>
    <n v="28.25"/>
    <n v="25.61"/>
    <s v="1.45B"/>
    <n v="7.6999999999999999E-2"/>
    <n v="-5.5274566473988478E-2"/>
  </r>
  <r>
    <x v="4"/>
    <x v="11"/>
    <n v="26.15"/>
    <n v="27.73"/>
    <n v="28.1"/>
    <n v="26.1"/>
    <s v="1.27B"/>
    <n v="-5.5300000000000002E-2"/>
    <n v="7.6481835564053538E-2"/>
  </r>
  <r>
    <x v="4"/>
    <x v="12"/>
    <n v="28.15"/>
    <n v="26.25"/>
    <n v="28.38"/>
    <n v="26.1"/>
    <s v="1.39B"/>
    <n v="7.6499999999999999E-2"/>
    <n v="-4.5470692717584284E-2"/>
  </r>
  <r>
    <x v="4"/>
    <x v="13"/>
    <n v="26.87"/>
    <n v="27.96"/>
    <n v="28.07"/>
    <n v="26.34"/>
    <s v="1.05B"/>
    <n v="-4.5499999999999999E-2"/>
    <n v="1.2653516933382949E-2"/>
  </r>
  <r>
    <x v="4"/>
    <x v="14"/>
    <n v="27.21"/>
    <n v="26.98"/>
    <n v="28.22"/>
    <n v="26.62"/>
    <s v="1.44B"/>
    <n v="1.2699999999999999E-2"/>
    <n v="-0.11245865490628454"/>
  </r>
  <r>
    <x v="4"/>
    <x v="15"/>
    <n v="24.15"/>
    <n v="27.67"/>
    <n v="27.94"/>
    <n v="24"/>
    <s v="1.45B"/>
    <n v="-0.1125"/>
    <n v="-6.2111801242236031E-2"/>
  </r>
  <r>
    <x v="4"/>
    <x v="16"/>
    <n v="22.65"/>
    <n v="24.32"/>
    <n v="25"/>
    <n v="22.45"/>
    <s v="2.32B"/>
    <n v="-6.2100000000000002E-2"/>
    <n v="2.8697571743929454E-2"/>
  </r>
  <r>
    <x v="4"/>
    <x v="17"/>
    <n v="23.3"/>
    <n v="22.74"/>
    <n v="23.65"/>
    <n v="21.46"/>
    <s v="1.98B"/>
    <n v="2.87E-2"/>
    <n v="3.2618025751072872E-2"/>
  </r>
  <r>
    <x v="4"/>
    <x v="18"/>
    <n v="24.06"/>
    <n v="23.53"/>
    <n v="24.6"/>
    <n v="22.23"/>
    <s v="1.33B"/>
    <n v="3.2599999999999997E-2"/>
    <n v="6.8162926018287648E-2"/>
  </r>
  <r>
    <x v="4"/>
    <x v="19"/>
    <n v="25.7"/>
    <n v="24.02"/>
    <n v="26.25"/>
    <n v="23.85"/>
    <s v="1.13B"/>
    <n v="6.8199999999999997E-2"/>
    <n v="6.4202334630350286E-2"/>
  </r>
  <r>
    <x v="4"/>
    <x v="20"/>
    <n v="27.35"/>
    <n v="25.89"/>
    <n v="27.52"/>
    <n v="25.39"/>
    <s v="1.10B"/>
    <n v="6.4199999999999993E-2"/>
    <n v="4.9725776965265062E-2"/>
  </r>
  <r>
    <x v="4"/>
    <x v="21"/>
    <n v="28.71"/>
    <n v="27.32"/>
    <n v="28.85"/>
    <n v="27.15"/>
    <s v="1.29B"/>
    <n v="4.9700000000000001E-2"/>
    <n v="2.2640195053988107E-2"/>
  </r>
  <r>
    <x v="4"/>
    <x v="22"/>
    <n v="29.36"/>
    <n v="28.78"/>
    <n v="30"/>
    <n v="28.58"/>
    <s v="1.24B"/>
    <n v="2.2599999999999999E-2"/>
    <n v="1.7029972752043598E-2"/>
  </r>
  <r>
    <x v="4"/>
    <x v="23"/>
    <n v="29.86"/>
    <n v="29.23"/>
    <n v="30.26"/>
    <n v="28.8"/>
    <s v="1.14B"/>
    <n v="1.7000000000000001E-2"/>
    <n v="3.3489618218352314E-2"/>
  </r>
  <r>
    <x v="4"/>
    <x v="24"/>
    <n v="30.86"/>
    <n v="29.91"/>
    <n v="31.48"/>
    <n v="29.4"/>
    <s v="1.33B"/>
    <n v="3.3500000000000002E-2"/>
    <n v="-8.7167854828256577E-2"/>
  </r>
  <r>
    <x v="4"/>
    <x v="25"/>
    <n v="28.17"/>
    <n v="30.84"/>
    <n v="30.94"/>
    <n v="27.79"/>
    <s v="1.29B"/>
    <n v="-8.72E-2"/>
    <n v="-1.0649627263045818E-2"/>
  </r>
  <r>
    <x v="4"/>
    <x v="26"/>
    <n v="27.87"/>
    <n v="27.82"/>
    <n v="28.55"/>
    <n v="26.6"/>
    <s v="1.28B"/>
    <n v="-1.06E-2"/>
    <n v="7.4273412271259429E-2"/>
  </r>
  <r>
    <x v="4"/>
    <x v="27"/>
    <n v="29.94"/>
    <n v="27.89"/>
    <n v="30.74"/>
    <n v="27.56"/>
    <s v="966.27M"/>
    <n v="7.4300000000000005E-2"/>
    <n v="2.5050100200400799E-2"/>
  </r>
  <r>
    <x v="4"/>
    <x v="28"/>
    <n v="30.69"/>
    <n v="29.94"/>
    <n v="31.16"/>
    <n v="29.9"/>
    <s v="1.33B"/>
    <n v="2.5100000000000001E-2"/>
    <n v="-3.9752362333007572E-2"/>
  </r>
  <r>
    <x v="4"/>
    <x v="29"/>
    <n v="29.47"/>
    <n v="30.79"/>
    <n v="30.9"/>
    <n v="29.04"/>
    <s v="1.19B"/>
    <n v="-3.9800000000000002E-2"/>
    <n v="-1.6287750254496112E-2"/>
  </r>
  <r>
    <x v="4"/>
    <x v="30"/>
    <n v="28.99"/>
    <n v="29.67"/>
    <n v="31.84"/>
    <n v="28.95"/>
    <s v="1.30B"/>
    <n v="-1.6299999999999999E-2"/>
    <n v="-8.9686098654707842E-3"/>
  </r>
  <r>
    <x v="4"/>
    <x v="31"/>
    <n v="28.73"/>
    <n v="28.95"/>
    <n v="30.1"/>
    <n v="27.51"/>
    <s v="1.23B"/>
    <n v="-8.9999999999999993E-3"/>
    <n v="2.5408980160111398E-2"/>
  </r>
  <r>
    <x v="4"/>
    <x v="32"/>
    <n v="29.46"/>
    <n v="28.5"/>
    <n v="29.85"/>
    <n v="28.27"/>
    <s v="1.12B"/>
    <n v="2.5399999999999999E-2"/>
    <n v="0.24949083503054995"/>
  </r>
  <r>
    <x v="4"/>
    <x v="33"/>
    <n v="36.81"/>
    <n v="29.46"/>
    <n v="37"/>
    <n v="29.29"/>
    <s v="1.77B"/>
    <n v="0.2495"/>
    <n v="-8.7204563977180127E-2"/>
  </r>
  <r>
    <x v="4"/>
    <x v="34"/>
    <n v="33.6"/>
    <n v="36.53"/>
    <n v="37.5"/>
    <n v="32.68"/>
    <s v="1.83B"/>
    <n v="-8.72E-2"/>
    <n v="5.9523809523809521E-2"/>
  </r>
  <r>
    <x v="4"/>
    <x v="35"/>
    <n v="35.6"/>
    <n v="33.5"/>
    <n v="36.72"/>
    <n v="32.630000000000003"/>
    <s v="1.07B"/>
    <n v="5.9499999999999997E-2"/>
    <n v="-8.4269662921348312E-2"/>
  </r>
  <r>
    <x v="4"/>
    <x v="36"/>
    <n v="32.6"/>
    <n v="35.79"/>
    <n v="35.96"/>
    <n v="31.04"/>
    <s v="1.95B"/>
    <n v="-8.43E-2"/>
    <n v="-0.16564417177914117"/>
  </r>
  <r>
    <x v="4"/>
    <x v="37"/>
    <n v="27.2"/>
    <n v="31.05"/>
    <n v="33.25"/>
    <n v="27.02"/>
    <s v="2.32B"/>
    <n v="-0.1656"/>
    <n v="4.3382352941176462E-2"/>
  </r>
  <r>
    <x v="4"/>
    <x v="38"/>
    <n v="28.38"/>
    <n v="27.24"/>
    <n v="29.59"/>
    <n v="26.87"/>
    <s v="1.45B"/>
    <n v="4.3400000000000001E-2"/>
    <n v="4.9330514446793722E-3"/>
  </r>
  <r>
    <x v="4"/>
    <x v="39"/>
    <n v="28.52"/>
    <n v="28.83"/>
    <n v="32.1"/>
    <n v="27.93"/>
    <s v="1.45B"/>
    <n v="4.8999999999999998E-3"/>
    <n v="-7.0126227208975912E-3"/>
  </r>
  <r>
    <x v="4"/>
    <x v="40"/>
    <n v="28.32"/>
    <n v="28.5"/>
    <n v="30.53"/>
    <n v="27.95"/>
    <s v="1.41B"/>
    <n v="-7.0000000000000001E-3"/>
    <n v="-2.8601694915254192E-2"/>
  </r>
  <r>
    <x v="4"/>
    <x v="41"/>
    <n v="27.51"/>
    <n v="28.24"/>
    <n v="29.57"/>
    <n v="27.11"/>
    <s v="1.57B"/>
    <n v="-2.86E-2"/>
    <n v="-6.5067248273355235E-2"/>
  </r>
  <r>
    <x v="4"/>
    <x v="42"/>
    <n v="25.72"/>
    <n v="27.27"/>
    <n v="27.91"/>
    <n v="24.87"/>
    <s v="1.64B"/>
    <n v="-6.5100000000000005E-2"/>
    <n v="6.1041990668740297E-2"/>
  </r>
  <r>
    <x v="4"/>
    <x v="43"/>
    <n v="27.29"/>
    <n v="25.92"/>
    <n v="28.5"/>
    <n v="25.07"/>
    <s v="1.21B"/>
    <n v="6.0999999999999999E-2"/>
    <n v="-2.1986075485525756E-2"/>
  </r>
  <r>
    <x v="4"/>
    <x v="44"/>
    <n v="26.69"/>
    <n v="27.66"/>
    <n v="27.76"/>
    <n v="23.5"/>
    <s v="1.93B"/>
    <n v="-2.1999999999999999E-2"/>
    <n v="-0.16335706257025112"/>
  </r>
  <r>
    <x v="4"/>
    <x v="45"/>
    <n v="22.33"/>
    <n v="26.38"/>
    <n v="27.47"/>
    <n v="20.65"/>
    <s v="3.05B"/>
    <n v="-0.16339999999999999"/>
    <n v="-9.4491715181370339E-2"/>
  </r>
  <r>
    <x v="4"/>
    <x v="46"/>
    <n v="20.22"/>
    <n v="22.48"/>
    <n v="23.66"/>
    <n v="17.5"/>
    <s v="1.80B"/>
    <n v="-9.4500000000000001E-2"/>
    <n v="-3.8575667655786232E-2"/>
  </r>
  <r>
    <x v="4"/>
    <x v="47"/>
    <n v="19.440000000000001"/>
    <n v="19.88"/>
    <n v="21.25"/>
    <n v="18.47"/>
    <s v="1.55B"/>
    <n v="-3.8600000000000002E-2"/>
    <n v="-0.12037037037037035"/>
  </r>
  <r>
    <x v="4"/>
    <x v="48"/>
    <n v="17.100000000000001"/>
    <n v="19.53"/>
    <n v="21"/>
    <n v="16.75"/>
    <s v="1.57B"/>
    <n v="-0.12039999999999999"/>
    <n v="-5.5555555555555719E-2"/>
  </r>
  <r>
    <x v="4"/>
    <x v="49"/>
    <n v="16.149999999999999"/>
    <n v="17.03"/>
    <n v="19.93"/>
    <n v="16.100000000000001"/>
    <s v="1.46B"/>
    <n v="-5.5599999999999997E-2"/>
    <n v="0.13746130030959769"/>
  </r>
  <r>
    <x v="4"/>
    <x v="50"/>
    <n v="18.37"/>
    <n v="15.96"/>
    <n v="18.88"/>
    <n v="14.87"/>
    <s v="1.63B"/>
    <n v="0.13750000000000001"/>
    <n v="0.10288513881328255"/>
  </r>
  <r>
    <x v="4"/>
    <x v="51"/>
    <n v="20.260000000000002"/>
    <n v="18.23"/>
    <n v="21.2"/>
    <n v="18.18"/>
    <s v="1.56B"/>
    <n v="0.10290000000000001"/>
    <n v="3.1095755182625813E-2"/>
  </r>
  <r>
    <x v="4"/>
    <x v="52"/>
    <n v="20.89"/>
    <n v="20.190000000000001"/>
    <n v="20.94"/>
    <n v="19.010000000000002"/>
    <s v="1.10B"/>
    <n v="3.1099999999999999E-2"/>
    <n v="0.13786500718046907"/>
  </r>
  <r>
    <x v="4"/>
    <x v="53"/>
    <n v="23.77"/>
    <n v="21"/>
    <n v="24.34"/>
    <n v="20.86"/>
    <s v="1.41B"/>
    <n v="0.13789999999999999"/>
    <n v="-1.051745898190997E-2"/>
  </r>
  <r>
    <x v="4"/>
    <x v="54"/>
    <n v="23.52"/>
    <n v="24.05"/>
    <n v="25.72"/>
    <n v="22"/>
    <s v="1.52B"/>
    <n v="-1.0500000000000001E-2"/>
    <n v="4.8044217687074786E-2"/>
  </r>
  <r>
    <x v="4"/>
    <x v="55"/>
    <n v="24.65"/>
    <n v="23.82"/>
    <n v="25.49"/>
    <n v="23.03"/>
    <s v="993.31M"/>
    <n v="4.8000000000000001E-2"/>
    <n v="4.340770791075052E-2"/>
  </r>
  <r>
    <x v="4"/>
    <x v="56"/>
    <n v="25.72"/>
    <n v="24.35"/>
    <n v="26.25"/>
    <n v="23.76"/>
    <s v="1.04B"/>
    <n v="4.3400000000000001E-2"/>
    <n v="7.8149300155521059E-2"/>
  </r>
  <r>
    <x v="4"/>
    <x v="57"/>
    <n v="27.73"/>
    <n v="25.41"/>
    <n v="29.35"/>
    <n v="24.43"/>
    <s v="1.52B"/>
    <n v="7.8100000000000003E-2"/>
    <n v="6.0584204832311563E-2"/>
  </r>
  <r>
    <x v="4"/>
    <x v="58"/>
    <n v="29.41"/>
    <n v="27.7"/>
    <n v="30.14"/>
    <n v="27.41"/>
    <s v="1.02B"/>
    <n v="6.0600000000000001E-2"/>
    <n v="3.6382182930975865E-2"/>
  </r>
  <r>
    <x v="4"/>
    <x v="59"/>
    <n v="30.48"/>
    <n v="29.52"/>
    <n v="31.5"/>
    <n v="29.25"/>
    <s v="920.65M"/>
    <n v="3.6400000000000002E-2"/>
    <n v="-7.5459317585301861E-2"/>
  </r>
  <r>
    <x v="4"/>
    <x v="60"/>
    <n v="28.18"/>
    <n v="30.62"/>
    <n v="31.24"/>
    <n v="27.66"/>
    <s v="1.36B"/>
    <n v="-7.5499999999999998E-2"/>
    <n v="1.7388218594748119E-2"/>
  </r>
  <r>
    <x v="4"/>
    <x v="61"/>
    <n v="28.67"/>
    <n v="28.39"/>
    <n v="29.03"/>
    <n v="27.57"/>
    <s v="1.07B"/>
    <n v="1.7399999999999999E-2"/>
    <n v="2.1625392396232904E-2"/>
  </r>
  <r>
    <x v="4"/>
    <x v="62"/>
    <n v="29.29"/>
    <n v="28.77"/>
    <n v="30.57"/>
    <n v="28.24"/>
    <s v="1.11B"/>
    <n v="2.1600000000000001E-2"/>
    <n v="4.2676681461249574E-2"/>
  </r>
  <r>
    <x v="4"/>
    <x v="63"/>
    <n v="30.54"/>
    <n v="29.35"/>
    <n v="31.58"/>
    <n v="28.62"/>
    <s v="1.32B"/>
    <n v="4.2700000000000002E-2"/>
    <n v="-0.15520628683693513"/>
  </r>
  <r>
    <x v="4"/>
    <x v="64"/>
    <n v="25.8"/>
    <n v="30.67"/>
    <n v="31.06"/>
    <n v="24.56"/>
    <s v="1.72B"/>
    <n v="-0.1552"/>
    <n v="-0.1081395348837209"/>
  </r>
  <r>
    <x v="4"/>
    <x v="65"/>
    <n v="23.01"/>
    <n v="25.53"/>
    <n v="26.93"/>
    <n v="22.95"/>
    <s v="1.67B"/>
    <n v="-0.1081"/>
    <n v="0.12168622338113851"/>
  </r>
  <r>
    <x v="4"/>
    <x v="66"/>
    <n v="25.81"/>
    <n v="23.09"/>
    <n v="26.41"/>
    <n v="22.73"/>
    <s v="1.41B"/>
    <n v="0.1217"/>
    <n v="-9.1049980627663618E-2"/>
  </r>
  <r>
    <x v="4"/>
    <x v="67"/>
    <n v="23.46"/>
    <n v="25.99"/>
    <n v="26.38"/>
    <n v="23.32"/>
    <s v="1.28B"/>
    <n v="-9.0999999999999998E-2"/>
    <n v="4.3904518329070656E-2"/>
  </r>
  <r>
    <x v="4"/>
    <x v="68"/>
    <n v="24.49"/>
    <n v="23.67"/>
    <n v="25.53"/>
    <n v="23.54"/>
    <s v="1.27B"/>
    <n v="4.3900000000000002E-2"/>
    <n v="8.860759493670893E-2"/>
  </r>
  <r>
    <x v="4"/>
    <x v="69"/>
    <n v="26.66"/>
    <n v="24.77"/>
    <n v="27.2"/>
    <n v="23.78"/>
    <s v="1.28B"/>
    <n v="8.8599999999999998E-2"/>
    <n v="-5.2513128282070463E-2"/>
  </r>
  <r>
    <x v="4"/>
    <x v="70"/>
    <n v="25.26"/>
    <n v="26.88"/>
    <n v="27.49"/>
    <n v="24.93"/>
    <s v="1.36B"/>
    <n v="-5.2499999999999998E-2"/>
    <n v="0.10490894695170223"/>
  </r>
  <r>
    <x v="4"/>
    <x v="71"/>
    <n v="27.91"/>
    <n v="25.57"/>
    <n v="28.4"/>
    <n v="25.56"/>
    <s v="1.03B"/>
    <n v="0.10489999999999999"/>
    <n v="-6.4493013256897071E-3"/>
  </r>
  <r>
    <x v="4"/>
    <x v="72"/>
    <n v="27.73"/>
    <n v="28.05"/>
    <n v="29.46"/>
    <n v="27.42"/>
    <s v="1.36B"/>
    <n v="-6.4000000000000003E-3"/>
    <n v="-4.1471330688784787E-2"/>
  </r>
  <r>
    <x v="4"/>
    <x v="73"/>
    <n v="26.58"/>
    <n v="27.8"/>
    <n v="28.34"/>
    <n v="26.43"/>
    <s v="1.11B"/>
    <n v="-4.1500000000000002E-2"/>
    <n v="-4.4770504138449879E-2"/>
  </r>
  <r>
    <x v="4"/>
    <x v="74"/>
    <n v="25.39"/>
    <n v="26.6"/>
    <n v="26.78"/>
    <n v="24.68"/>
    <s v="1.31B"/>
    <n v="-4.48E-2"/>
    <n v="2.0874359984245812E-2"/>
  </r>
  <r>
    <x v="4"/>
    <x v="75"/>
    <n v="25.92"/>
    <n v="25.53"/>
    <n v="26.87"/>
    <n v="24.72"/>
    <s v="1.31B"/>
    <n v="2.0899999999999998E-2"/>
    <n v="-3.5108024691358028E-2"/>
  </r>
  <r>
    <x v="4"/>
    <x v="76"/>
    <n v="25.01"/>
    <n v="25.94"/>
    <n v="26.25"/>
    <n v="24.03"/>
    <s v="1.36B"/>
    <n v="-3.5099999999999999E-2"/>
    <n v="3.958416633346655E-2"/>
  </r>
  <r>
    <x v="4"/>
    <x v="77"/>
    <n v="26"/>
    <n v="24.99"/>
    <n v="26"/>
    <n v="23.65"/>
    <s v="1.30B"/>
    <n v="3.9600000000000003E-2"/>
    <n v="5.3846153846153794E-2"/>
  </r>
  <r>
    <x v="4"/>
    <x v="78"/>
    <n v="27.4"/>
    <n v="25.93"/>
    <n v="28.14"/>
    <n v="25.84"/>
    <s v="1.26B"/>
    <n v="5.3800000000000001E-2"/>
    <n v="-2.9197080291970701E-2"/>
  </r>
  <r>
    <x v="4"/>
    <x v="79"/>
    <n v="26.6"/>
    <n v="27.51"/>
    <n v="27.68"/>
    <n v="23.79"/>
    <s v="1.72B"/>
    <n v="-2.92E-2"/>
    <n v="-6.4285714285714321E-2"/>
  </r>
  <r>
    <x v="4"/>
    <x v="80"/>
    <n v="24.89"/>
    <n v="26.46"/>
    <n v="27.5"/>
    <n v="24.6"/>
    <s v="1.28B"/>
    <n v="-6.4299999999999996E-2"/>
    <n v="6.990759341100837E-2"/>
  </r>
  <r>
    <x v="4"/>
    <x v="81"/>
    <n v="26.63"/>
    <n v="24.72"/>
    <n v="27.5"/>
    <n v="24.26"/>
    <s v="1.22B"/>
    <n v="6.9900000000000004E-2"/>
    <n v="-3.9429215170859962E-2"/>
  </r>
  <r>
    <x v="4"/>
    <x v="82"/>
    <n v="25.58"/>
    <n v="26.19"/>
    <n v="27.2"/>
    <n v="24.3"/>
    <s v="1.05B"/>
    <n v="-3.9399999999999998E-2"/>
    <n v="1.4855355746677193E-2"/>
  </r>
  <r>
    <x v="4"/>
    <x v="83"/>
    <n v="25.96"/>
    <n v="25.56"/>
    <n v="26.19"/>
    <n v="25.16"/>
    <s v="1.01B"/>
    <n v="1.49E-2"/>
    <n v="0.13751926040061635"/>
  </r>
  <r>
    <x v="4"/>
    <x v="84"/>
    <n v="29.53"/>
    <n v="26.55"/>
    <n v="29.95"/>
    <n v="26.39"/>
    <s v="1.35B"/>
    <n v="0.13750000000000001"/>
    <n v="7.4839146630545111E-2"/>
  </r>
  <r>
    <x v="4"/>
    <x v="85"/>
    <n v="31.74"/>
    <n v="29.79"/>
    <n v="32"/>
    <n v="29.71"/>
    <s v="984.40M"/>
    <n v="7.4800000000000005E-2"/>
    <n v="1.6383112791430361E-2"/>
  </r>
  <r>
    <x v="4"/>
    <x v="86"/>
    <n v="32.26"/>
    <n v="31.93"/>
    <n v="32.950000000000003"/>
    <n v="31.49"/>
    <s v="942.42M"/>
    <n v="1.6400000000000001E-2"/>
    <n v="-7.4395536267822353E-3"/>
  </r>
  <r>
    <x v="4"/>
    <x v="87"/>
    <n v="32.020000000000003"/>
    <n v="32.22"/>
    <n v="32.89"/>
    <n v="30.23"/>
    <s v="940.74M"/>
    <n v="-7.4000000000000003E-3"/>
    <n v="-8.838226108682079E-2"/>
  </r>
  <r>
    <x v="4"/>
    <x v="88"/>
    <n v="29.19"/>
    <n v="32.049999999999997"/>
    <n v="32.340000000000003"/>
    <n v="28.64"/>
    <s v="1.01B"/>
    <n v="-8.8400000000000006E-2"/>
    <n v="4.7961630695443597E-2"/>
  </r>
  <r>
    <x v="4"/>
    <x v="89"/>
    <n v="30.59"/>
    <n v="28.76"/>
    <n v="31.14"/>
    <n v="28.32"/>
    <s v="973.17M"/>
    <n v="4.8000000000000001E-2"/>
    <n v="-3.6613272311212849E-2"/>
  </r>
  <r>
    <x v="4"/>
    <x v="90"/>
    <n v="29.47"/>
    <n v="30.62"/>
    <n v="31.05"/>
    <n v="28.54"/>
    <s v="846.66M"/>
    <n v="-3.6600000000000001E-2"/>
    <n v="4.5809297590770327E-2"/>
  </r>
  <r>
    <x v="4"/>
    <x v="91"/>
    <n v="30.82"/>
    <n v="29.59"/>
    <n v="30.96"/>
    <n v="28.97"/>
    <s v="671.80M"/>
    <n v="4.58E-2"/>
    <n v="-3.4393251135626177E-2"/>
  </r>
  <r>
    <x v="4"/>
    <x v="92"/>
    <n v="29.76"/>
    <n v="30.45"/>
    <n v="31.61"/>
    <n v="29.74"/>
    <s v="893.17M"/>
    <n v="-3.44E-2"/>
    <n v="-4.099462365591406E-2"/>
  </r>
  <r>
    <x v="4"/>
    <x v="93"/>
    <n v="28.54"/>
    <n v="29.81"/>
    <n v="30.25"/>
    <n v="27.76"/>
    <s v="1.11B"/>
    <n v="-4.1000000000000002E-2"/>
    <n v="-6.7624386825508045E-2"/>
  </r>
  <r>
    <x v="4"/>
    <x v="94"/>
    <n v="26.61"/>
    <n v="28.84"/>
    <n v="30.2"/>
    <n v="26.34"/>
    <s v="1.31B"/>
    <n v="-6.7599999999999993E-2"/>
    <n v="3.7579857196543189E-3"/>
  </r>
  <r>
    <x v="4"/>
    <x v="95"/>
    <n v="26.71"/>
    <n v="26.78"/>
    <n v="27.73"/>
    <n v="26.26"/>
    <s v="947.41M"/>
    <n v="3.8E-3"/>
    <n v="2.770497940846119E-2"/>
  </r>
  <r>
    <x v="4"/>
    <x v="96"/>
    <n v="27.45"/>
    <n v="27.25"/>
    <n v="28.23"/>
    <n v="26.28"/>
    <s v="1.15B"/>
    <n v="2.7699999999999999E-2"/>
    <n v="1.2750455373406246E-2"/>
  </r>
  <r>
    <x v="4"/>
    <x v="97"/>
    <n v="27.8"/>
    <n v="27.67"/>
    <n v="28.2"/>
    <n v="27.1"/>
    <s v="780.65M"/>
    <n v="1.2800000000000001E-2"/>
    <n v="2.9136690647481967E-2"/>
  </r>
  <r>
    <x v="4"/>
    <x v="98"/>
    <n v="28.61"/>
    <n v="27.72"/>
    <n v="28.66"/>
    <n v="27.52"/>
    <s v="845.03M"/>
    <n v="2.9100000000000001E-2"/>
    <n v="0.15693813351974842"/>
  </r>
  <r>
    <x v="4"/>
    <x v="99"/>
    <n v="33.1"/>
    <n v="28.64"/>
    <n v="33.11"/>
    <n v="28.11"/>
    <s v="1.47B"/>
    <n v="0.15690000000000001"/>
    <n v="5.4380664652567891E-2"/>
  </r>
  <r>
    <x v="4"/>
    <x v="100"/>
    <n v="34.9"/>
    <n v="32.93"/>
    <n v="35.28"/>
    <n v="32.32"/>
    <s v="1.07B"/>
    <n v="5.4399999999999997E-2"/>
    <n v="-1.0028653295128981E-2"/>
  </r>
  <r>
    <x v="4"/>
    <x v="101"/>
    <n v="34.549999999999997"/>
    <n v="34.92"/>
    <n v="35.78"/>
    <n v="32.57"/>
    <s v="945.22M"/>
    <n v="-0.01"/>
    <n v="-7.8437047756874018E-2"/>
  </r>
  <r>
    <x v="4"/>
    <x v="102"/>
    <n v="31.84"/>
    <n v="34.75"/>
    <n v="36.43"/>
    <n v="31.02"/>
    <s v="1.11B"/>
    <n v="-7.8399999999999997E-2"/>
    <n v="4.8994974874371822E-2"/>
  </r>
  <r>
    <x v="4"/>
    <x v="103"/>
    <n v="33.4"/>
    <n v="32.06"/>
    <n v="35.200000000000003"/>
    <n v="30.84"/>
    <s v="1.05B"/>
    <n v="4.9000000000000002E-2"/>
    <n v="-3.5928143712574087E-3"/>
  </r>
  <r>
    <x v="4"/>
    <x v="104"/>
    <n v="33.28"/>
    <n v="31.75"/>
    <n v="33.75"/>
    <n v="30.95"/>
    <s v="1.25B"/>
    <n v="-3.5999999999999999E-3"/>
    <n v="6.4002403846153702E-2"/>
  </r>
  <r>
    <x v="4"/>
    <x v="105"/>
    <n v="35.409999999999997"/>
    <n v="33.35"/>
    <n v="36.29"/>
    <n v="32.799999999999997"/>
    <s v="965.36M"/>
    <n v="6.4000000000000001E-2"/>
    <n v="7.6814459192318732E-2"/>
  </r>
  <r>
    <x v="4"/>
    <x v="106"/>
    <n v="38.130000000000003"/>
    <n v="35.67"/>
    <n v="38.29"/>
    <n v="35.39"/>
    <s v="800.46M"/>
    <n v="7.6799999999999993E-2"/>
    <n v="-1.8882769472856175E-2"/>
  </r>
  <r>
    <x v="4"/>
    <x v="107"/>
    <n v="37.409999999999997"/>
    <n v="38.090000000000003"/>
    <n v="38.979999999999997"/>
    <n v="35.53"/>
    <s v="826.64M"/>
    <n v="-1.89E-2"/>
    <n v="1.1494252873563402E-2"/>
  </r>
  <r>
    <x v="4"/>
    <x v="108"/>
    <n v="37.840000000000003"/>
    <n v="37.35"/>
    <n v="37.89"/>
    <n v="34.630000000000003"/>
    <s v="932.09M"/>
    <n v="1.15E-2"/>
    <n v="1.2420718816067622E-2"/>
  </r>
  <r>
    <x v="4"/>
    <x v="109"/>
    <n v="38.31"/>
    <n v="37.74"/>
    <n v="38.46"/>
    <n v="35.69"/>
    <s v="718.23M"/>
    <n v="1.24E-2"/>
    <n v="6.9955625163142771E-2"/>
  </r>
  <r>
    <x v="4"/>
    <x v="110"/>
    <n v="40.99"/>
    <n v="37.92"/>
    <n v="41.5"/>
    <n v="37.49"/>
    <s v="778.55M"/>
    <n v="7.0000000000000007E-2"/>
    <n v="-1.4393754574286493E-2"/>
  </r>
  <r>
    <x v="4"/>
    <x v="111"/>
    <n v="40.4"/>
    <n v="41.15"/>
    <n v="41.66"/>
    <n v="38.9"/>
    <s v="746.15M"/>
    <n v="-1.44E-2"/>
    <n v="1.3366336633663345E-2"/>
  </r>
  <r>
    <x v="4"/>
    <x v="112"/>
    <n v="40.94"/>
    <n v="40.24"/>
    <n v="40.97"/>
    <n v="38.51"/>
    <s v="574.40M"/>
    <n v="1.34E-2"/>
    <n v="1.8563751831949318E-2"/>
  </r>
  <r>
    <x v="4"/>
    <x v="113"/>
    <n v="41.7"/>
    <n v="40.950000000000003"/>
    <n v="42.29"/>
    <n v="39.86"/>
    <s v="555.81M"/>
    <n v="1.8599999999999998E-2"/>
    <n v="3.5011990407673707E-2"/>
  </r>
  <r>
    <x v="4"/>
    <x v="114"/>
    <n v="43.16"/>
    <n v="41.86"/>
    <n v="45.71"/>
    <n v="41.05"/>
    <s v="731.66M"/>
    <n v="3.5000000000000003E-2"/>
    <n v="5.2594995366079783E-2"/>
  </r>
  <r>
    <x v="4"/>
    <x v="115"/>
    <n v="45.43"/>
    <n v="43.21"/>
    <n v="45.47"/>
    <n v="42.21"/>
    <s v="513.93M"/>
    <n v="5.2600000000000001E-2"/>
    <n v="2.0471054369359448E-2"/>
  </r>
  <r>
    <x v="4"/>
    <x v="116"/>
    <n v="46.36"/>
    <n v="45.43"/>
    <n v="47.57"/>
    <n v="44.53"/>
    <s v="860.84M"/>
    <n v="2.0500000000000001E-2"/>
    <n v="1.2726488352027684E-2"/>
  </r>
  <r>
    <x v="4"/>
    <x v="117"/>
    <n v="46.95"/>
    <n v="46.27"/>
    <n v="46.97"/>
    <n v="42.1"/>
    <s v="853.30M"/>
    <n v="1.2699999999999999E-2"/>
    <n v="1.831735889243875E-2"/>
  </r>
  <r>
    <x v="4"/>
    <x v="118"/>
    <n v="47.81"/>
    <n v="46.89"/>
    <n v="50.05"/>
    <n v="46.73"/>
    <s v="523.01M"/>
    <n v="1.83E-2"/>
    <n v="-2.8445931813428142E-2"/>
  </r>
  <r>
    <x v="4"/>
    <x v="119"/>
    <n v="46.45"/>
    <n v="47.88"/>
    <n v="49.06"/>
    <n v="44.9"/>
    <s v="626.81M"/>
    <n v="-2.8400000000000002E-2"/>
    <n v="-0.13024757804090428"/>
  </r>
  <r>
    <x v="4"/>
    <x v="120"/>
    <n v="40.4"/>
    <n v="46.66"/>
    <n v="47.91"/>
    <n v="40.35"/>
    <s v="918.97M"/>
    <n v="-0.13020000000000001"/>
    <n v="8.5396039603960472E-2"/>
  </r>
  <r>
    <x v="4"/>
    <x v="121"/>
    <n v="43.85"/>
    <n v="40.590000000000003"/>
    <n v="44.3"/>
    <n v="40.229999999999997"/>
    <s v="656.51M"/>
    <n v="8.5400000000000004E-2"/>
    <n v="-7.2748004561003526E-2"/>
  </r>
  <r>
    <x v="4"/>
    <x v="122"/>
    <n v="40.659999999999997"/>
    <n v="43.67"/>
    <n v="44.19"/>
    <n v="40.54"/>
    <s v="824.34M"/>
    <n v="-7.2700000000000001E-2"/>
    <n v="0.19626168224299076"/>
  </r>
  <r>
    <x v="4"/>
    <x v="123"/>
    <n v="48.64"/>
    <n v="40.6"/>
    <n v="49.54"/>
    <n v="40.119999999999997"/>
    <s v="874.54M"/>
    <n v="0.1963"/>
    <n v="-3.6595394736842125E-2"/>
  </r>
  <r>
    <x v="4"/>
    <x v="124"/>
    <n v="46.86"/>
    <n v="48.58"/>
    <n v="48.91"/>
    <n v="46.02"/>
    <s v="633.07M"/>
    <n v="-3.6600000000000001E-2"/>
    <n v="-5.7831839521980385E-2"/>
  </r>
  <r>
    <x v="4"/>
    <x v="125"/>
    <n v="44.15"/>
    <n v="47.06"/>
    <n v="47.77"/>
    <n v="43.94"/>
    <s v="664.85M"/>
    <n v="-5.7799999999999997E-2"/>
    <n v="5.7757644394111081E-2"/>
  </r>
  <r>
    <x v="4"/>
    <x v="126"/>
    <n v="46.7"/>
    <n v="44.46"/>
    <n v="47.4"/>
    <n v="43.32"/>
    <s v="725.46M"/>
    <n v="5.7799999999999997E-2"/>
    <n v="-6.8094218415417546E-2"/>
  </r>
  <r>
    <x v="4"/>
    <x v="127"/>
    <n v="43.52"/>
    <n v="46.98"/>
    <n v="48.41"/>
    <n v="39.72"/>
    <s v="776.50M"/>
    <n v="-6.8099999999999994E-2"/>
    <n v="1.7003676470588116E-2"/>
  </r>
  <r>
    <x v="4"/>
    <x v="128"/>
    <n v="44.26"/>
    <n v="42.17"/>
    <n v="45"/>
    <n v="41.66"/>
    <s v="673.08M"/>
    <n v="1.7000000000000001E-2"/>
    <n v="0.18933574333483966"/>
  </r>
  <r>
    <x v="4"/>
    <x v="129"/>
    <n v="52.64"/>
    <n v="44.75"/>
    <n v="54.37"/>
    <n v="43.75"/>
    <s v="857.33M"/>
    <n v="0.1893"/>
    <n v="3.2484802431610955E-2"/>
  </r>
  <r>
    <x v="4"/>
    <x v="130"/>
    <n v="54.35"/>
    <n v="52.85"/>
    <n v="54.98"/>
    <n v="52.53"/>
    <s v="662.63M"/>
    <n v="3.2500000000000001E-2"/>
    <n v="2.0791168353265783E-2"/>
  </r>
  <r>
    <x v="4"/>
    <x v="131"/>
    <n v="55.48"/>
    <n v="54.41"/>
    <n v="56.85"/>
    <n v="53.68"/>
    <s v="793.07M"/>
    <n v="2.0799999999999999E-2"/>
    <n v="-7.0295602018744319E-3"/>
  </r>
  <r>
    <x v="4"/>
    <x v="132"/>
    <n v="55.09"/>
    <n v="54.32"/>
    <n v="55.39"/>
    <n v="49.1"/>
    <s v="927.91M"/>
    <n v="-7.0000000000000001E-3"/>
    <n v="-7.6420402976946827E-2"/>
  </r>
  <r>
    <x v="4"/>
    <x v="133"/>
    <n v="50.88"/>
    <n v="54.88"/>
    <n v="55.09"/>
    <n v="48.19"/>
    <s v="814.77M"/>
    <n v="-7.6399999999999996E-2"/>
    <n v="8.5495283018867815E-2"/>
  </r>
  <r>
    <x v="4"/>
    <x v="134"/>
    <n v="55.23"/>
    <n v="50.97"/>
    <n v="55.64"/>
    <n v="50.58"/>
    <s v="641.13M"/>
    <n v="8.5500000000000007E-2"/>
    <n v="-9.7048705413724415E-2"/>
  </r>
  <r>
    <x v="4"/>
    <x v="135"/>
    <n v="49.87"/>
    <n v="55.05"/>
    <n v="56.77"/>
    <n v="49.35"/>
    <s v="699.03M"/>
    <n v="-9.7000000000000003E-2"/>
    <n v="6.2763184279125778E-2"/>
  </r>
  <r>
    <x v="4"/>
    <x v="136"/>
    <n v="53"/>
    <n v="50"/>
    <n v="53"/>
    <n v="49.46"/>
    <s v="530.87M"/>
    <n v="6.2799999999999995E-2"/>
    <n v="-3.4528301886792422E-2"/>
  </r>
  <r>
    <x v="4"/>
    <x v="137"/>
    <n v="51.17"/>
    <n v="52.44"/>
    <n v="52.95"/>
    <n v="48.03"/>
    <s v="823.99M"/>
    <n v="-3.4500000000000003E-2"/>
    <n v="0.1076802814148915"/>
  </r>
  <r>
    <x v="4"/>
    <x v="138"/>
    <n v="56.68"/>
    <n v="51.13"/>
    <n v="57.29"/>
    <n v="50.39"/>
    <s v="647.59M"/>
    <n v="0.1077"/>
    <n v="1.3761467889908277E-2"/>
  </r>
  <r>
    <x v="4"/>
    <x v="139"/>
    <n v="57.46"/>
    <n v="56.6"/>
    <n v="58.7"/>
    <n v="56.14"/>
    <s v="467.08M"/>
    <n v="1.38E-2"/>
    <n v="2.4364775495997314E-3"/>
  </r>
  <r>
    <x v="4"/>
    <x v="140"/>
    <n v="57.6"/>
    <n v="57.01"/>
    <n v="58.19"/>
    <n v="55.61"/>
    <s v="526.86M"/>
    <n v="2.3999999999999998E-3"/>
    <n v="4.027777777777778E-2"/>
  </r>
  <r>
    <x v="4"/>
    <x v="141"/>
    <n v="59.92"/>
    <n v="57.41"/>
    <n v="61.37"/>
    <n v="56.31"/>
    <s v="614.84M"/>
    <n v="4.0300000000000002E-2"/>
    <n v="5.6742323097462664E-3"/>
  </r>
  <r>
    <x v="4"/>
    <x v="142"/>
    <n v="60.26"/>
    <n v="59.97"/>
    <n v="61.41"/>
    <n v="57.28"/>
    <s v="613.06M"/>
    <n v="5.7000000000000002E-3"/>
    <n v="3.1198141387321649E-2"/>
  </r>
  <r>
    <x v="4"/>
    <x v="143"/>
    <n v="62.14"/>
    <n v="60.11"/>
    <n v="64.099999999999994"/>
    <n v="58.8"/>
    <s v="513.58M"/>
    <n v="3.1199999999999999E-2"/>
    <n v="4.0392661731573951E-2"/>
  </r>
  <r>
    <x v="4"/>
    <x v="144"/>
    <n v="64.650000000000006"/>
    <n v="62.79"/>
    <n v="65.91"/>
    <n v="61.95"/>
    <s v="494.44M"/>
    <n v="4.0399999999999998E-2"/>
    <n v="-1.0363495746326508E-2"/>
  </r>
  <r>
    <x v="4"/>
    <x v="145"/>
    <n v="63.98"/>
    <n v="64.36"/>
    <n v="65.239999999999995"/>
    <n v="62.75"/>
    <s v="440.74M"/>
    <n v="-1.04E-2"/>
    <n v="2.938418255704912E-2"/>
  </r>
  <r>
    <x v="4"/>
    <x v="146"/>
    <n v="65.86"/>
    <n v="64.13"/>
    <n v="66.19"/>
    <n v="63.62"/>
    <s v="489.17M"/>
    <n v="2.9399999999999999E-2"/>
    <n v="3.9477679927118044E-2"/>
  </r>
  <r>
    <x v="4"/>
    <x v="147"/>
    <n v="68.459999999999994"/>
    <n v="65.81"/>
    <n v="69.14"/>
    <n v="64.849999999999994"/>
    <s v="433.19M"/>
    <n v="3.95E-2"/>
    <n v="2.0157756354075514E-2"/>
  </r>
  <r>
    <x v="4"/>
    <x v="148"/>
    <n v="69.84"/>
    <n v="68.680000000000007"/>
    <n v="70.739999999999995"/>
    <n v="67.14"/>
    <s v="517.29M"/>
    <n v="2.0199999999999999E-2"/>
    <n v="-1.3029782359679217E-2"/>
  </r>
  <r>
    <x v="4"/>
    <x v="149"/>
    <n v="68.930000000000007"/>
    <n v="70.239999999999995"/>
    <n v="72.89"/>
    <n v="68.09"/>
    <s v="629.72M"/>
    <n v="-1.2999999999999999E-2"/>
    <n v="5.4693166980995148E-2"/>
  </r>
  <r>
    <x v="4"/>
    <x v="150"/>
    <n v="72.7"/>
    <n v="69.33"/>
    <n v="74.42"/>
    <n v="68.02"/>
    <s v="469.85M"/>
    <n v="5.4699999999999999E-2"/>
    <n v="2.8473177441540484E-2"/>
  </r>
  <r>
    <x v="4"/>
    <x v="151"/>
    <n v="74.77"/>
    <n v="73.099999999999994"/>
    <n v="74.959999999999994"/>
    <n v="71.28"/>
    <s v="442.76M"/>
    <n v="2.8500000000000001E-2"/>
    <n v="-3.7448174401498082E-3"/>
  </r>
  <r>
    <x v="4"/>
    <x v="152"/>
    <n v="74.489999999999995"/>
    <n v="74.709999999999994"/>
    <n v="75.97"/>
    <n v="72.92"/>
    <s v="376.67M"/>
    <n v="-3.7000000000000002E-3"/>
    <n v="0.11665995435628961"/>
  </r>
  <r>
    <x v="4"/>
    <x v="153"/>
    <n v="83.18"/>
    <n v="74.709999999999994"/>
    <n v="86.2"/>
    <n v="73.709999999999994"/>
    <s v="449.95M"/>
    <n v="0.1167"/>
    <n v="1.1901899495070868E-2"/>
  </r>
  <r>
    <x v="4"/>
    <x v="154"/>
    <n v="84.17"/>
    <n v="83.68"/>
    <n v="85.06"/>
    <n v="82.24"/>
    <s v="421.93M"/>
    <n v="1.1900000000000001E-2"/>
    <n v="1.6276583105619632E-2"/>
  </r>
  <r>
    <x v="4"/>
    <x v="155"/>
    <n v="85.54"/>
    <n v="83.6"/>
    <n v="87.5"/>
    <n v="80.7"/>
    <s v="466.20M"/>
    <n v="1.6299999999999999E-2"/>
    <n v="0.11070844049567452"/>
  </r>
  <r>
    <x v="4"/>
    <x v="156"/>
    <n v="95.01"/>
    <n v="86.12"/>
    <n v="95.45"/>
    <n v="85.5"/>
    <s v="574.26M"/>
    <n v="0.11070000000000001"/>
    <n v="-1.3051257762340901E-2"/>
  </r>
  <r>
    <x v="4"/>
    <x v="157"/>
    <n v="93.77"/>
    <n v="94.79"/>
    <n v="96.07"/>
    <n v="83.83"/>
    <s v="725.66M"/>
    <n v="-1.3100000000000001E-2"/>
    <n v="-2.6660978991148557E-2"/>
  </r>
  <r>
    <x v="4"/>
    <x v="158"/>
    <n v="91.27"/>
    <n v="93.99"/>
    <n v="97.24"/>
    <n v="87.08"/>
    <s v="750.75M"/>
    <n v="-2.6700000000000002E-2"/>
    <n v="2.4652131039772106E-2"/>
  </r>
  <r>
    <x v="4"/>
    <x v="159"/>
    <n v="93.52"/>
    <n v="90.47"/>
    <n v="97.9"/>
    <n v="87.51"/>
    <s v="668.26M"/>
    <n v="2.47E-2"/>
    <n v="5.688622754491026E-2"/>
  </r>
  <r>
    <x v="4"/>
    <x v="160"/>
    <n v="98.84"/>
    <n v="93.21"/>
    <n v="99.99"/>
    <n v="92.45"/>
    <s v="509.42M"/>
    <n v="5.6899999999999999E-2"/>
    <n v="-2.3269931201942936E-3"/>
  </r>
  <r>
    <x v="4"/>
    <x v="161"/>
    <n v="98.61"/>
    <n v="99.28"/>
    <n v="102.69"/>
    <n v="97.26"/>
    <s v="602.59M"/>
    <n v="-2.3E-3"/>
    <n v="7.5752966230605401E-2"/>
  </r>
  <r>
    <x v="4"/>
    <x v="162"/>
    <n v="106.08"/>
    <n v="98.1"/>
    <n v="111.15"/>
    <n v="98"/>
    <s v="569.50M"/>
    <n v="7.5800000000000006E-2"/>
    <n v="5.8917797888386123E-2"/>
  </r>
  <r>
    <x v="4"/>
    <x v="163"/>
    <n v="112.33"/>
    <n v="106.03"/>
    <n v="112.78"/>
    <n v="104.84"/>
    <s v="456.63M"/>
    <n v="5.8900000000000001E-2"/>
    <n v="1.8160776284162791E-2"/>
  </r>
  <r>
    <x v="4"/>
    <x v="164"/>
    <n v="114.37"/>
    <n v="110.85"/>
    <n v="115.29"/>
    <n v="107.23"/>
    <s v="480.26M"/>
    <n v="1.8200000000000001E-2"/>
    <n v="-6.6101250327883207E-2"/>
  </r>
  <r>
    <x v="4"/>
    <x v="165"/>
    <n v="106.81"/>
    <n v="114.75"/>
    <n v="116.18"/>
    <n v="100.11"/>
    <s v="927.55M"/>
    <n v="-6.6100000000000006E-2"/>
    <n v="3.8198670536466604E-2"/>
  </r>
  <r>
    <x v="4"/>
    <x v="166"/>
    <n v="110.89"/>
    <n v="107.05"/>
    <n v="112.24"/>
    <n v="99.35"/>
    <s v="720.23M"/>
    <n v="3.8199999999999998E-2"/>
    <n v="-8.4047254035530775E-2"/>
  </r>
  <r>
    <x v="4"/>
    <x v="167"/>
    <n v="101.57"/>
    <n v="113"/>
    <n v="113.42"/>
    <n v="93.96"/>
    <s v="944.29M"/>
    <n v="-8.4000000000000005E-2"/>
    <n v="2.8157920645860136E-2"/>
  </r>
  <r>
    <x v="4"/>
    <x v="168"/>
    <n v="104.43"/>
    <n v="99.55"/>
    <n v="107.9"/>
    <n v="97.2"/>
    <s v="714.20M"/>
    <n v="2.8199999999999999E-2"/>
    <n v="7.2776022215838301E-2"/>
  </r>
  <r>
    <x v="4"/>
    <x v="169"/>
    <n v="112.03"/>
    <n v="103.78"/>
    <n v="113.24"/>
    <n v="102.35"/>
    <s v="469.10M"/>
    <n v="7.2800000000000004E-2"/>
    <n v="5.2753726680353448E-2"/>
  </r>
  <r>
    <x v="4"/>
    <x v="170"/>
    <n v="117.94"/>
    <n v="112.89"/>
    <n v="120.82"/>
    <n v="108.8"/>
    <s v="589.05M"/>
    <n v="5.28E-2"/>
    <n v="0.10734271663557739"/>
  </r>
  <r>
    <x v="4"/>
    <x v="171"/>
    <n v="130.6"/>
    <n v="118.95"/>
    <n v="131.37"/>
    <n v="118.1"/>
    <s v="433.16M"/>
    <n v="0.10730000000000001"/>
    <n v="-5.2986217457886585E-2"/>
  </r>
  <r>
    <x v="4"/>
    <x v="172"/>
    <n v="123.68"/>
    <n v="130.53"/>
    <n v="130.65"/>
    <n v="123.04"/>
    <s v="547.22M"/>
    <n v="-5.2999999999999999E-2"/>
    <n v="8.3117723156532999E-2"/>
  </r>
  <r>
    <x v="4"/>
    <x v="173"/>
    <n v="133.96"/>
    <n v="123.85"/>
    <n v="138.4"/>
    <n v="119.01"/>
    <s v="508.32M"/>
    <n v="8.3099999999999993E-2"/>
    <n v="1.7243953418931039E-2"/>
  </r>
  <r>
    <x v="4"/>
    <x v="174"/>
    <n v="136.27000000000001"/>
    <n v="136.63"/>
    <n v="141.68"/>
    <n v="134.66999999999999"/>
    <s v="484.55M"/>
    <n v="1.72E-2"/>
    <n v="1.1668012034930677E-2"/>
  </r>
  <r>
    <x v="4"/>
    <x v="175"/>
    <n v="137.86000000000001"/>
    <n v="137"/>
    <n v="140.94"/>
    <n v="130.78"/>
    <s v="585.58M"/>
    <n v="1.17E-2"/>
    <n v="8.4868707384301995E-3"/>
  </r>
  <r>
    <x v="4"/>
    <x v="176"/>
    <n v="139.03"/>
    <n v="136.61000000000001"/>
    <n v="142.37"/>
    <n v="134.51"/>
    <s v="477.65M"/>
    <n v="8.5000000000000006E-3"/>
    <n v="3.1216284255196746E-2"/>
  </r>
  <r>
    <x v="4"/>
    <x v="177"/>
    <n v="143.37"/>
    <n v="139.66"/>
    <n v="145.66999999999999"/>
    <n v="133.22"/>
    <s v="563.29M"/>
    <n v="3.1199999999999999E-2"/>
    <n v="5.5869428750784621E-2"/>
  </r>
  <r>
    <x v="4"/>
    <x v="178"/>
    <n v="151.38"/>
    <n v="144.26"/>
    <n v="152.5"/>
    <n v="142.97"/>
    <s v="393.03M"/>
    <n v="5.5899999999999998E-2"/>
    <n v="4.1749240322367508E-2"/>
  </r>
  <r>
    <x v="4"/>
    <x v="179"/>
    <n v="157.69999999999999"/>
    <n v="151.81"/>
    <n v="159.55000000000001"/>
    <n v="146.65"/>
    <s v="452.66M"/>
    <n v="4.1700000000000001E-2"/>
    <n v="7.945466074825619E-2"/>
  </r>
  <r>
    <x v="4"/>
    <x v="180"/>
    <n v="170.23"/>
    <n v="158.78"/>
    <n v="174.05"/>
    <n v="156.51"/>
    <s v="559.25M"/>
    <n v="7.9500000000000001E-2"/>
    <n v="-4.8287610879398458E-2"/>
  </r>
  <r>
    <x v="4"/>
    <x v="181"/>
    <n v="162.01"/>
    <n v="170.43"/>
    <n v="190.7"/>
    <n v="152"/>
    <s v="887.89M"/>
    <n v="-4.8300000000000003E-2"/>
    <n v="-2.6541571507931506E-2"/>
  </r>
  <r>
    <x v="4"/>
    <x v="182"/>
    <n v="157.71"/>
    <n v="165.31"/>
    <n v="175"/>
    <n v="132.52000000000001"/>
    <s v="1.61B"/>
    <n v="-2.6499999999999999E-2"/>
    <n v="0.13632616828355842"/>
  </r>
  <r>
    <x v="4"/>
    <x v="183"/>
    <n v="179.21"/>
    <n v="153"/>
    <n v="180.4"/>
    <n v="150.36000000000001"/>
    <s v="984.81M"/>
    <n v="0.1363"/>
    <n v="2.2543384855755771E-2"/>
  </r>
  <r>
    <x v="4"/>
    <x v="184"/>
    <n v="183.25"/>
    <n v="175.8"/>
    <n v="187.51"/>
    <n v="173.8"/>
    <s v="688.96M"/>
    <n v="2.2499999999999999E-2"/>
    <n v="0.11055934515688945"/>
  </r>
  <r>
    <x v="4"/>
    <x v="185"/>
    <n v="203.51"/>
    <n v="182.54"/>
    <n v="204.4"/>
    <n v="181.35"/>
    <s v="765.01M"/>
    <n v="0.1106"/>
    <n v="7.3706451771411727E-3"/>
  </r>
  <r>
    <x v="4"/>
    <x v="186"/>
    <n v="205.01"/>
    <n v="203.14"/>
    <n v="216.38"/>
    <n v="197.51"/>
    <s v="770.51M"/>
    <n v="7.4000000000000003E-3"/>
    <n v="0.10009267840593147"/>
  </r>
  <r>
    <x v="4"/>
    <x v="187"/>
    <n v="225.53"/>
    <n v="211.52"/>
    <n v="231.15"/>
    <n v="203.14"/>
    <s v="692.50M"/>
    <n v="0.10009999999999999"/>
    <n v="-6.739679865206398E-2"/>
  </r>
  <r>
    <x v="4"/>
    <x v="188"/>
    <n v="210.33"/>
    <n v="225.51"/>
    <n v="232.86"/>
    <n v="196.25"/>
    <s v="768.53M"/>
    <n v="-6.7400000000000002E-2"/>
    <n v="-3.7369847382684417E-2"/>
  </r>
  <r>
    <x v="4"/>
    <x v="189"/>
    <n v="202.47"/>
    <n v="213.49"/>
    <n v="225.21"/>
    <n v="199.62"/>
    <s v="631.67M"/>
    <n v="-3.7400000000000003E-2"/>
    <n v="5.7292438385933689E-2"/>
  </r>
  <r>
    <x v="4"/>
    <x v="190"/>
    <n v="214.07"/>
    <n v="204.29"/>
    <n v="228.12"/>
    <n v="200.12"/>
    <s v="573.47M"/>
    <n v="5.7299999999999997E-2"/>
    <n v="3.9005932638856426E-2"/>
  </r>
  <r>
    <x v="4"/>
    <x v="191"/>
    <n v="222.42"/>
    <n v="214.51"/>
    <n v="227.18"/>
    <n v="209.11"/>
    <s v="594.57M"/>
    <n v="3.9E-2"/>
    <n v="4.2891826274615685E-2"/>
  </r>
  <r>
    <x v="4"/>
    <x v="192"/>
    <n v="231.96"/>
    <n v="222.53"/>
    <n v="242.64"/>
    <n v="211.94"/>
    <s v="648.00M"/>
    <n v="4.2900000000000001E-2"/>
    <n v="1.8106570098292269E-3"/>
  </r>
  <r>
    <x v="4"/>
    <x v="193"/>
    <n v="232.38"/>
    <n v="235.06"/>
    <n v="246.13"/>
    <n v="227.88"/>
    <s v="490.98M"/>
    <n v="1.8E-3"/>
    <n v="1.4588174541699006E-2"/>
  </r>
  <r>
    <x v="4"/>
    <x v="194"/>
    <n v="235.77"/>
    <n v="235.9"/>
    <n v="241.05"/>
    <n v="224.26"/>
    <s v="724.98M"/>
    <n v="1.46E-2"/>
    <n v="6.9601730500063602E-2"/>
  </r>
  <r>
    <x v="4"/>
    <x v="195"/>
    <n v="252.18"/>
    <n v="238.47"/>
    <n v="263.19"/>
    <n v="238.05"/>
    <s v="568.70M"/>
    <n v="6.9599999999999995E-2"/>
    <n v="-9.913553810770085E-3"/>
  </r>
  <r>
    <x v="4"/>
    <x v="196"/>
    <n v="249.68"/>
    <n v="253.4"/>
    <n v="254.35"/>
    <n v="238.07"/>
    <s v="495.09M"/>
    <n v="-9.9000000000000008E-3"/>
    <n v="8.4988785645626286E-2"/>
  </r>
  <r>
    <x v="4"/>
    <x v="197"/>
    <n v="270.89999999999998"/>
    <n v="251.23"/>
    <n v="271.64999999999998"/>
    <n v="243"/>
    <s v="508.57M"/>
    <n v="8.5000000000000006E-2"/>
    <n v="5.1716500553710035E-2"/>
  </r>
  <r>
    <x v="4"/>
    <x v="198"/>
    <n v="284.91000000000003"/>
    <n v="269.61"/>
    <n v="290.14999999999998"/>
    <n v="269.60000000000002"/>
    <s v="522.69M"/>
    <n v="5.1700000000000003E-2"/>
    <n v="5.9562668912989961E-2"/>
  </r>
  <r>
    <x v="4"/>
    <x v="199"/>
    <n v="301.88"/>
    <n v="286.36"/>
    <n v="305.83999999999997"/>
    <n v="283.74"/>
    <s v="441.33M"/>
    <n v="5.96E-2"/>
    <n v="-6.6118987677222671E-2"/>
  </r>
  <r>
    <x v="4"/>
    <x v="200"/>
    <n v="281.92"/>
    <n v="302.87"/>
    <n v="305.32"/>
    <n v="281.62"/>
    <s v="502.93M"/>
    <n v="-6.6100000000000006E-2"/>
    <n v="0.17629114642451754"/>
  </r>
  <r>
    <x v="4"/>
    <x v="201"/>
    <n v="331.62"/>
    <n v="282.12"/>
    <n v="332"/>
    <n v="280.25"/>
    <s v="516.52M"/>
    <n v="0.17630000000000001"/>
    <n v="-3.1059646583439767E-3"/>
  </r>
  <r>
    <x v="4"/>
    <x v="202"/>
    <n v="330.59"/>
    <n v="331.36"/>
    <n v="349.67"/>
    <n v="326.37"/>
    <s v="509.89M"/>
    <n v="-3.0999999999999999E-3"/>
    <n v="1.7332647690492812E-2"/>
  </r>
  <r>
    <x v="4"/>
    <x v="203"/>
    <n v="336.32"/>
    <n v="335.13"/>
    <n v="344.3"/>
    <n v="317.25"/>
    <s v="625.97M"/>
    <n v="1.7299999999999999E-2"/>
    <n v="-7.5344909609895261E-2"/>
  </r>
  <r>
    <x v="4"/>
    <x v="204"/>
    <n v="310.98"/>
    <n v="335.35"/>
    <n v="338"/>
    <n v="276.05"/>
    <s v="947.99M"/>
    <n v="-7.5300000000000006E-2"/>
    <n v="-3.9198662293395067E-2"/>
  </r>
  <r>
    <x v="4"/>
    <x v="205"/>
    <n v="298.79000000000002"/>
    <n v="310.41000000000003"/>
    <n v="315.12"/>
    <n v="271.52"/>
    <s v="697.37M"/>
    <n v="-3.9199999999999999E-2"/>
    <n v="3.1861842765822088E-2"/>
  </r>
  <r>
    <x v="4"/>
    <x v="206"/>
    <n v="308.31"/>
    <n v="296.39999999999998"/>
    <n v="315.95"/>
    <n v="270"/>
    <s v="734.35M"/>
    <n v="3.1899999999999998E-2"/>
    <n v="-9.9867016963445951E-2"/>
  </r>
  <r>
    <x v="4"/>
    <x v="207"/>
    <n v="277.52"/>
    <n v="309.37"/>
    <n v="315.11"/>
    <n v="270"/>
    <s v="627.39M"/>
    <n v="-9.9900000000000003E-2"/>
    <n v="-2.0358893052752874E-2"/>
  </r>
  <r>
    <x v="4"/>
    <x v="208"/>
    <n v="271.87"/>
    <n v="277.70999999999998"/>
    <n v="290.88"/>
    <n v="246.44"/>
    <s v="742.90M"/>
    <n v="-2.0400000000000001E-2"/>
    <n v="-5.5320557619450546E-2"/>
  </r>
  <r>
    <x v="4"/>
    <x v="209"/>
    <n v="256.83"/>
    <n v="275.19"/>
    <n v="277.69"/>
    <n v="241.51"/>
    <s v="621.50M"/>
    <n v="-5.5300000000000002E-2"/>
    <n v="9.3096600864385107E-2"/>
  </r>
  <r>
    <x v="4"/>
    <x v="210"/>
    <n v="280.74"/>
    <n v="256.39"/>
    <n v="282"/>
    <n v="245.94"/>
    <s v="534.99M"/>
    <n v="9.3100000000000002E-2"/>
    <n v="-6.8640022796893851E-2"/>
  </r>
  <r>
    <x v="4"/>
    <x v="211"/>
    <n v="261.47000000000003"/>
    <n v="277.82"/>
    <n v="294.18"/>
    <n v="260.66000000000003"/>
    <s v="477.18M"/>
    <n v="-6.8599999999999994E-2"/>
    <n v="-0.10926683749569747"/>
  </r>
  <r>
    <x v="4"/>
    <x v="212"/>
    <n v="232.9"/>
    <n v="258.87"/>
    <n v="267.45"/>
    <n v="232.73"/>
    <s v="575.60M"/>
    <n v="-0.10929999999999999"/>
    <n v="-3.3061399742379143E-3"/>
  </r>
  <r>
    <x v="4"/>
    <x v="213"/>
    <n v="232.13"/>
    <n v="235.41"/>
    <n v="251.04"/>
    <n v="219.13"/>
    <s v="671.37M"/>
    <n v="-3.3E-3"/>
    <n v="9.9125490027139926E-2"/>
  </r>
  <r>
    <x v="4"/>
    <x v="214"/>
    <n v="255.14"/>
    <n v="234.6"/>
    <n v="255.33"/>
    <n v="213.43"/>
    <s v="615.33M"/>
    <n v="9.9099999999999994E-2"/>
    <n v="-6.0045465234773041E-2"/>
  </r>
  <r>
    <x v="4"/>
    <x v="215"/>
    <n v="239.82"/>
    <n v="253.87"/>
    <n v="263.92"/>
    <n v="233.87"/>
    <s v="591.37M"/>
    <n v="-0.06"/>
    <n v="3.3316654157284666E-2"/>
  </r>
  <r>
    <x v="4"/>
    <x v="216"/>
    <n v="247.81"/>
    <n v="243.08"/>
    <n v="249.83"/>
    <n v="219.35"/>
    <s v="666.17M"/>
    <n v="3.3300000000000003E-2"/>
    <n v="6.4969129575077082E-3"/>
  </r>
  <r>
    <x v="4"/>
    <x v="217"/>
    <n v="249.42"/>
    <n v="248"/>
    <n v="276.76"/>
    <n v="245.47"/>
    <s v="615.54M"/>
    <n v="6.4999999999999997E-3"/>
    <n v="0.1558816454173684"/>
  </r>
  <r>
    <x v="4"/>
    <x v="218"/>
    <n v="288.3"/>
    <n v="250.76"/>
    <n v="289.27"/>
    <n v="245.61"/>
    <s v="747.75M"/>
    <n v="0.15590000000000001"/>
    <n v="6.5764828303850081E-2"/>
  </r>
  <r>
    <x v="4"/>
    <x v="219"/>
    <n v="307.26"/>
    <n v="286.52"/>
    <n v="308.93"/>
    <n v="275.37"/>
    <s v="551.52M"/>
    <n v="6.5799999999999997E-2"/>
    <n v="6.8769120614463303E-2"/>
  </r>
  <r>
    <x v="4"/>
    <x v="220"/>
    <n v="328.39"/>
    <n v="306.97000000000003"/>
    <n v="335.94"/>
    <n v="303.39999999999998"/>
    <s v="600.86M"/>
    <n v="6.88E-2"/>
    <n v="3.6998690581321096E-2"/>
  </r>
  <r>
    <x v="4"/>
    <x v="221"/>
    <n v="340.54"/>
    <n v="325.93"/>
    <n v="351.47"/>
    <n v="322.5"/>
    <s v="547.75M"/>
    <n v="3.6999999999999998E-2"/>
    <n v="-1.3566688201092395E-2"/>
  </r>
  <r>
    <x v="4"/>
    <x v="222"/>
    <n v="335.92"/>
    <n v="339.19"/>
    <n v="366.78"/>
    <n v="327"/>
    <s v="666.96M"/>
    <n v="-1.3599999999999999E-2"/>
    <n v="-2.4291497975708575E-2"/>
  </r>
  <r>
    <x v="4"/>
    <x v="223"/>
    <n v="327.76"/>
    <n v="335.19"/>
    <n v="338.54"/>
    <n v="311.55"/>
    <s v="479.67M"/>
    <n v="-2.4299999999999999E-2"/>
    <n v="-3.6642665364901121E-2"/>
  </r>
  <r>
    <x v="4"/>
    <x v="224"/>
    <n v="315.75"/>
    <n v="331.31"/>
    <n v="340.86"/>
    <n v="309.45"/>
    <s v="416.77M"/>
    <n v="-3.6600000000000001E-2"/>
    <n v="7.0815518606492517E-2"/>
  </r>
  <r>
    <x v="4"/>
    <x v="225"/>
    <n v="338.11"/>
    <n v="316.27999999999997"/>
    <n v="346.2"/>
    <n v="311.20999999999998"/>
    <s v="540.96M"/>
    <n v="7.0800000000000002E-2"/>
    <n v="0.1206707876134986"/>
  </r>
  <r>
    <x v="4"/>
    <x v="226"/>
    <n v="378.91"/>
    <n v="339.79"/>
    <n v="384.3"/>
    <n v="339.65"/>
    <s v="564.17M"/>
    <n v="0.1207"/>
    <n v="-7.5743580269721153E-3"/>
  </r>
  <r>
    <x v="4"/>
    <x v="227"/>
    <n v="376.04"/>
    <n v="376.76"/>
    <n v="378.16"/>
    <n v="362.9"/>
    <s v="522.08M"/>
    <n v="-7.6E-3"/>
    <n v="5.7281140304222856E-2"/>
  </r>
  <r>
    <x v="4"/>
    <x v="228"/>
    <n v="397.58"/>
    <n v="373.86"/>
    <n v="415.32"/>
    <n v="366.5"/>
    <s v="528.49M"/>
    <n v="5.7299999999999997E-2"/>
    <n v="4.0394386035514873E-2"/>
  </r>
  <r>
    <x v="4"/>
    <x v="229"/>
    <n v="413.64"/>
    <n v="401.83"/>
    <n v="420.82"/>
    <n v="397.22"/>
    <s v="444.20M"/>
    <n v="4.0399999999999998E-2"/>
    <n v="1.7116333043226094E-2"/>
  </r>
  <r>
    <x v="4"/>
    <x v="230"/>
    <n v="420.72"/>
    <n v="411.27"/>
    <n v="430.82"/>
    <n v="398.39"/>
    <s v="426.45M"/>
    <n v="1.7100000000000001E-2"/>
    <n v="-7.4610192051720953E-2"/>
  </r>
  <r>
    <x v="4"/>
    <x v="231"/>
    <n v="389.33"/>
    <n v="423.95"/>
    <n v="429.37"/>
    <n v="388.03"/>
    <s v="441.10M"/>
    <n v="-7.46E-2"/>
    <n v="6.6267690648036406E-2"/>
  </r>
  <r>
    <x v="4"/>
    <x v="232"/>
    <n v="415.13"/>
    <n v="392.61"/>
    <n v="433.6"/>
    <n v="390.31"/>
    <s v="413.81M"/>
    <n v="6.6299999999999998E-2"/>
    <n v="7.6650687736371723E-2"/>
  </r>
  <r>
    <x v="4"/>
    <x v="233"/>
    <n v="446.95"/>
    <n v="415.52"/>
    <n v="456.17"/>
    <n v="408.92"/>
    <s v="342.37M"/>
    <n v="7.6700000000000004E-2"/>
    <n v="-6.3989260543684895E-2"/>
  </r>
  <r>
    <x v="4"/>
    <x v="234"/>
    <n v="418.35"/>
    <n v="448.66"/>
    <n v="468.35"/>
    <n v="412.21"/>
    <s v="440.45M"/>
    <n v="-6.4000000000000001E-2"/>
    <n v="-2.8923150472093613E-3"/>
  </r>
  <r>
    <x v="4"/>
    <x v="235"/>
    <n v="417.14"/>
    <n v="420.79"/>
    <n v="427.46"/>
    <n v="385.58"/>
    <s v="451.92M"/>
    <n v="-2.8999999999999998E-3"/>
    <n v="3.1548161288776008E-2"/>
  </r>
  <r>
    <x v="4"/>
    <x v="236"/>
    <n v="430.3"/>
    <n v="417.91"/>
    <n v="441.85"/>
    <n v="400.8"/>
    <s v="376.97M"/>
    <n v="3.15E-2"/>
    <n v="-5.5658842667906085E-2"/>
  </r>
  <r>
    <x v="4"/>
    <x v="237"/>
    <n v="406.35"/>
    <n v="428.45"/>
    <n v="438.5"/>
    <n v="406.3"/>
    <s v="440.77M"/>
    <n v="-5.57E-2"/>
    <n v="4.2106558385628046E-2"/>
  </r>
  <r>
    <x v="4"/>
    <x v="238"/>
    <n v="423.46"/>
    <n v="409.01"/>
    <n v="429.33"/>
    <n v="405.57"/>
    <s v="442.32M"/>
    <n v="4.2099999999999999E-2"/>
    <n v="-4.6285363434562408E-3"/>
  </r>
  <r>
    <x v="4"/>
    <x v="239"/>
    <n v="421.5"/>
    <n v="421.57"/>
    <n v="456.16"/>
    <n v="420.66"/>
    <s v="439.91M"/>
    <n v="-4.5999999999999999E-3"/>
    <n v="0"/>
  </r>
  <r>
    <x v="5"/>
    <x v="0"/>
    <n v="0.19"/>
    <n v="0.2"/>
    <n v="0.21"/>
    <n v="0.17"/>
    <s v="13.74B"/>
    <n v="-0.05"/>
    <n v="0.26315789473684204"/>
  </r>
  <r>
    <x v="5"/>
    <x v="1"/>
    <n v="0.24"/>
    <n v="0.19"/>
    <n v="0.24"/>
    <n v="0.19"/>
    <s v="17.52B"/>
    <n v="0.26319999999999999"/>
    <n v="-0.1666666666666666"/>
  </r>
  <r>
    <x v="5"/>
    <x v="2"/>
    <n v="0.2"/>
    <n v="0.24"/>
    <n v="0.25"/>
    <n v="0.2"/>
    <s v="15.17B"/>
    <n v="-0.16669999999999999"/>
    <n v="-0.10000000000000009"/>
  </r>
  <r>
    <x v="5"/>
    <x v="3"/>
    <n v="0.18"/>
    <n v="0.2"/>
    <n v="0.2"/>
    <n v="0.17"/>
    <s v="9.83B"/>
    <n v="-0.1"/>
    <n v="0.2777777777777779"/>
  </r>
  <r>
    <x v="5"/>
    <x v="4"/>
    <n v="0.23"/>
    <n v="0.18"/>
    <n v="0.23"/>
    <n v="0.18"/>
    <s v="14.35B"/>
    <n v="0.27779999999999999"/>
    <n v="-4.3478260869565251E-2"/>
  </r>
  <r>
    <x v="5"/>
    <x v="5"/>
    <n v="0.22"/>
    <n v="0.22"/>
    <n v="0.24"/>
    <n v="0.21"/>
    <s v="16.34B"/>
    <n v="-4.3499999999999997E-2"/>
    <n v="4.5454545454545497E-2"/>
  </r>
  <r>
    <x v="5"/>
    <x v="6"/>
    <n v="0.23"/>
    <n v="0.22"/>
    <n v="0.24"/>
    <n v="0.21"/>
    <s v="13.70B"/>
    <n v="4.5499999999999999E-2"/>
    <n v="0.13043478260869565"/>
  </r>
  <r>
    <x v="5"/>
    <x v="7"/>
    <n v="0.26"/>
    <n v="0.23"/>
    <n v="0.26"/>
    <n v="0.23"/>
    <s v="14.60B"/>
    <n v="0.13039999999999999"/>
    <n v="0.11538461538461527"/>
  </r>
  <r>
    <x v="5"/>
    <x v="8"/>
    <n v="0.28999999999999998"/>
    <n v="0.25"/>
    <n v="0.28999999999999998"/>
    <n v="0.25"/>
    <s v="11.12B"/>
    <n v="0.1154"/>
    <n v="-3.4482758620689495E-2"/>
  </r>
  <r>
    <x v="5"/>
    <x v="9"/>
    <n v="0.28000000000000003"/>
    <n v="0.28999999999999998"/>
    <n v="0.3"/>
    <n v="0.25"/>
    <s v="9.39B"/>
    <n v="-3.4500000000000003E-2"/>
    <n v="7.1428571428571286E-2"/>
  </r>
  <r>
    <x v="5"/>
    <x v="10"/>
    <n v="0.3"/>
    <n v="0.28000000000000003"/>
    <n v="0.32"/>
    <n v="0.27"/>
    <s v="13.21B"/>
    <n v="7.1400000000000005E-2"/>
    <n v="0"/>
  </r>
  <r>
    <x v="5"/>
    <x v="11"/>
    <n v="0.3"/>
    <n v="0.3"/>
    <n v="0.32"/>
    <n v="0.3"/>
    <s v="7.66B"/>
    <n v="0"/>
    <n v="0.23333333333333336"/>
  </r>
  <r>
    <x v="5"/>
    <x v="12"/>
    <n v="0.37"/>
    <n v="0.31"/>
    <n v="0.39"/>
    <n v="0.31"/>
    <s v="9.52B"/>
    <n v="0.23330000000000001"/>
    <n v="5.4054054054054106E-2"/>
  </r>
  <r>
    <x v="5"/>
    <x v="13"/>
    <n v="0.39"/>
    <n v="0.37"/>
    <n v="0.42"/>
    <n v="0.36"/>
    <s v="11.91B"/>
    <n v="5.4100000000000002E-2"/>
    <n v="0.23076923076923067"/>
  </r>
  <r>
    <x v="5"/>
    <x v="14"/>
    <n v="0.48"/>
    <n v="0.39"/>
    <n v="0.49"/>
    <n v="0.39"/>
    <s v="15.80B"/>
    <n v="0.23080000000000001"/>
    <n v="2.0833333333333353E-2"/>
  </r>
  <r>
    <x v="5"/>
    <x v="15"/>
    <n v="0.49"/>
    <n v="0.48"/>
    <n v="0.51"/>
    <n v="0.46"/>
    <s v="13.41B"/>
    <n v="2.0799999999999999E-2"/>
    <n v="-0.22448979591836732"/>
  </r>
  <r>
    <x v="5"/>
    <x v="16"/>
    <n v="0.38"/>
    <n v="0.49"/>
    <n v="0.53"/>
    <n v="0.38"/>
    <s v="14.40B"/>
    <n v="-0.22450000000000001"/>
    <n v="-7.8947368421052697E-2"/>
  </r>
  <r>
    <x v="5"/>
    <x v="17"/>
    <n v="0.35"/>
    <n v="0.39"/>
    <n v="0.41"/>
    <n v="0.32"/>
    <s v="12.31B"/>
    <n v="-7.8899999999999998E-2"/>
    <n v="5.7142857142857197E-2"/>
  </r>
  <r>
    <x v="5"/>
    <x v="18"/>
    <n v="0.37"/>
    <n v="0.36"/>
    <n v="0.38"/>
    <n v="0.28999999999999998"/>
    <s v="12.17B"/>
    <n v="5.7099999999999998E-2"/>
    <n v="0.32432432432432434"/>
  </r>
  <r>
    <x v="5"/>
    <x v="19"/>
    <n v="0.49"/>
    <n v="0.36"/>
    <n v="0.49"/>
    <n v="0.35"/>
    <s v="16.27B"/>
    <n v="0.32429999999999998"/>
    <n v="0"/>
  </r>
  <r>
    <x v="5"/>
    <x v="20"/>
    <n v="0.49"/>
    <n v="0.48"/>
    <n v="0.52"/>
    <n v="0.44"/>
    <s v="11.53B"/>
    <n v="0"/>
    <n v="0.18367346938775503"/>
  </r>
  <r>
    <x v="5"/>
    <x v="21"/>
    <n v="0.57999999999999996"/>
    <n v="0.49"/>
    <n v="0.57999999999999996"/>
    <n v="0.46"/>
    <s v="13.57B"/>
    <n v="0.1837"/>
    <n v="6.8965517241379379E-2"/>
  </r>
  <r>
    <x v="5"/>
    <x v="22"/>
    <n v="0.62"/>
    <n v="0.56999999999999995"/>
    <n v="0.62"/>
    <n v="0.53"/>
    <s v="13.47B"/>
    <n v="6.9000000000000006E-2"/>
    <n v="0"/>
  </r>
  <r>
    <x v="5"/>
    <x v="23"/>
    <n v="0.62"/>
    <n v="0.61"/>
    <n v="0.65"/>
    <n v="0.57999999999999996"/>
    <s v="10.03B"/>
    <n v="0"/>
    <n v="-0.17741935483870966"/>
  </r>
  <r>
    <x v="5"/>
    <x v="24"/>
    <n v="0.51"/>
    <n v="0.62"/>
    <n v="0.63"/>
    <n v="0.5"/>
    <s v="17.08B"/>
    <n v="-0.1774"/>
    <n v="1.9607843137254919E-2"/>
  </r>
  <r>
    <x v="5"/>
    <x v="25"/>
    <n v="0.52"/>
    <n v="0.51"/>
    <n v="0.57999999999999996"/>
    <n v="0.51"/>
    <s v="13.53B"/>
    <n v="1.9599999999999999E-2"/>
    <n v="-7.6923076923076983E-2"/>
  </r>
  <r>
    <x v="5"/>
    <x v="26"/>
    <n v="0.48"/>
    <n v="0.51"/>
    <n v="0.53"/>
    <n v="0.47"/>
    <s v="14.86B"/>
    <n v="-7.6899999999999996E-2"/>
    <n v="0.14583333333333348"/>
  </r>
  <r>
    <x v="5"/>
    <x v="27"/>
    <n v="0.55000000000000004"/>
    <n v="0.48"/>
    <n v="0.56999999999999995"/>
    <n v="0.47"/>
    <s v="13.54B"/>
    <n v="0.14580000000000001"/>
    <n v="5.454545454545439E-2"/>
  </r>
  <r>
    <x v="5"/>
    <x v="28"/>
    <n v="0.57999999999999996"/>
    <n v="0.56000000000000005"/>
    <n v="0.6"/>
    <n v="0.54"/>
    <s v="12.96B"/>
    <n v="5.45E-2"/>
    <n v="0.18965517241379309"/>
  </r>
  <r>
    <x v="5"/>
    <x v="29"/>
    <n v="0.69"/>
    <n v="0.57999999999999996"/>
    <n v="0.73"/>
    <n v="0.56999999999999995"/>
    <s v="14.48B"/>
    <n v="0.18970000000000001"/>
    <n v="0.10144927536231894"/>
  </r>
  <r>
    <x v="5"/>
    <x v="30"/>
    <n v="0.76"/>
    <n v="0.7"/>
    <n v="0.8"/>
    <n v="0.7"/>
    <s v="10.43B"/>
    <n v="0.1014"/>
    <n v="0.1184210526315789"/>
  </r>
  <r>
    <x v="5"/>
    <x v="31"/>
    <n v="0.85"/>
    <n v="0.75"/>
    <n v="0.86"/>
    <n v="0.68"/>
    <s v="15.71B"/>
    <n v="0.11840000000000001"/>
    <n v="7.0588235294117715E-2"/>
  </r>
  <r>
    <x v="5"/>
    <x v="32"/>
    <n v="0.91"/>
    <n v="0.86"/>
    <n v="0.93"/>
    <n v="0.8"/>
    <s v="9.49B"/>
    <n v="7.0599999999999996E-2"/>
    <n v="-3.2967032967032996E-2"/>
  </r>
  <r>
    <x v="5"/>
    <x v="33"/>
    <n v="0.88"/>
    <n v="0.91"/>
    <n v="0.99"/>
    <n v="0.81"/>
    <s v="10.67B"/>
    <n v="-3.3000000000000002E-2"/>
    <n v="-0.10227272727272724"/>
  </r>
  <r>
    <x v="5"/>
    <x v="34"/>
    <n v="0.79"/>
    <n v="0.87"/>
    <n v="0.95"/>
    <n v="0.73"/>
    <s v="12.06B"/>
    <n v="-0.1023"/>
    <n v="7.5949367088607514E-2"/>
  </r>
  <r>
    <x v="5"/>
    <x v="35"/>
    <n v="0.85"/>
    <n v="0.8"/>
    <n v="0.91"/>
    <n v="0.78"/>
    <s v="7.58B"/>
    <n v="7.5899999999999995E-2"/>
    <n v="-0.28235294117647058"/>
  </r>
  <r>
    <x v="5"/>
    <x v="36"/>
    <n v="0.61"/>
    <n v="0.85"/>
    <n v="0.86"/>
    <n v="0.56000000000000005"/>
    <s v="15.50B"/>
    <n v="-0.28239999999999998"/>
    <n v="-0.13114754098360648"/>
  </r>
  <r>
    <x v="5"/>
    <x v="37"/>
    <n v="0.53"/>
    <n v="0.61"/>
    <n v="0.69"/>
    <n v="0.53"/>
    <s v="13.63B"/>
    <n v="-0.13109999999999999"/>
    <n v="-7.5471698113207614E-2"/>
  </r>
  <r>
    <x v="5"/>
    <x v="38"/>
    <n v="0.49"/>
    <n v="0.53"/>
    <n v="0.54"/>
    <n v="0.43"/>
    <s v="15.94B"/>
    <n v="-7.5499999999999998E-2"/>
    <n v="4.0816326530612283E-2"/>
  </r>
  <r>
    <x v="5"/>
    <x v="39"/>
    <n v="0.51"/>
    <n v="0.51"/>
    <n v="0.53"/>
    <n v="0.44"/>
    <s v="16.63B"/>
    <n v="4.0800000000000003E-2"/>
    <n v="0.2156862745098039"/>
  </r>
  <r>
    <x v="5"/>
    <x v="40"/>
    <n v="0.62"/>
    <n v="0.52"/>
    <n v="0.63"/>
    <n v="0.52"/>
    <s v="20.40B"/>
    <n v="0.2157"/>
    <n v="-0.24193548387096778"/>
  </r>
  <r>
    <x v="5"/>
    <x v="41"/>
    <n v="0.47"/>
    <n v="0.62"/>
    <n v="0.63"/>
    <n v="0.46"/>
    <s v="17.18B"/>
    <n v="-0.2419"/>
    <n v="-0.38297872340425532"/>
  </r>
  <r>
    <x v="5"/>
    <x v="42"/>
    <n v="0.28999999999999998"/>
    <n v="0.46"/>
    <n v="0.47"/>
    <n v="0.27"/>
    <s v="22.78B"/>
    <n v="-0.38300000000000001"/>
    <n v="0.10344827586206906"/>
  </r>
  <r>
    <x v="5"/>
    <x v="43"/>
    <n v="0.32"/>
    <n v="0.28000000000000003"/>
    <n v="0.35"/>
    <n v="0.26"/>
    <s v="18.65B"/>
    <n v="0.10340000000000001"/>
    <n v="-0.15624999999999997"/>
  </r>
  <r>
    <x v="5"/>
    <x v="44"/>
    <n v="0.27"/>
    <n v="0.32"/>
    <n v="0.32"/>
    <n v="0.22"/>
    <s v="19.74B"/>
    <n v="-0.15620000000000001"/>
    <n v="-0.18518518518518523"/>
  </r>
  <r>
    <x v="5"/>
    <x v="45"/>
    <n v="0.22"/>
    <n v="0.26"/>
    <n v="0.27"/>
    <n v="0.15"/>
    <s v="20.47B"/>
    <n v="-0.1852"/>
    <n v="-0.13636363636363635"/>
  </r>
  <r>
    <x v="5"/>
    <x v="46"/>
    <n v="0.19"/>
    <n v="0.22"/>
    <n v="0.23"/>
    <n v="0.14000000000000001"/>
    <s v="12.21B"/>
    <n v="-0.13639999999999999"/>
    <n v="5.2631578947368467E-2"/>
  </r>
  <r>
    <x v="5"/>
    <x v="47"/>
    <n v="0.2"/>
    <n v="0.18"/>
    <n v="0.24"/>
    <n v="0.17"/>
    <s v="11.71B"/>
    <n v="5.2600000000000001E-2"/>
    <n v="0"/>
  </r>
  <r>
    <x v="5"/>
    <x v="48"/>
    <n v="0.2"/>
    <n v="0.2"/>
    <n v="0.24"/>
    <n v="0.18"/>
    <s v="15.27B"/>
    <n v="0"/>
    <n v="4.9999999999999906E-2"/>
  </r>
  <r>
    <x v="5"/>
    <x v="49"/>
    <n v="0.21"/>
    <n v="0.2"/>
    <n v="0.25"/>
    <n v="0.18"/>
    <s v="16.30B"/>
    <n v="0.05"/>
    <n v="0.19047619047619052"/>
  </r>
  <r>
    <x v="5"/>
    <x v="50"/>
    <n v="0.25"/>
    <n v="0.2"/>
    <n v="0.3"/>
    <n v="0.19"/>
    <s v="22.19B"/>
    <n v="0.1905"/>
    <n v="0.15999999999999992"/>
  </r>
  <r>
    <x v="5"/>
    <x v="51"/>
    <n v="0.28999999999999998"/>
    <n v="0.24"/>
    <n v="0.3"/>
    <n v="0.23"/>
    <s v="17.63B"/>
    <n v="0.16"/>
    <n v="-0.10344827586206887"/>
  </r>
  <r>
    <x v="5"/>
    <x v="52"/>
    <n v="0.26"/>
    <n v="0.28999999999999998"/>
    <n v="0.31"/>
    <n v="0.21"/>
    <s v="21.41B"/>
    <n v="-0.10340000000000001"/>
    <n v="7.6923076923076983E-2"/>
  </r>
  <r>
    <x v="5"/>
    <x v="53"/>
    <n v="0.28000000000000003"/>
    <n v="0.26"/>
    <n v="0.3"/>
    <n v="0.25"/>
    <s v="14.68B"/>
    <n v="7.6899999999999996E-2"/>
    <n v="0.14285714285714277"/>
  </r>
  <r>
    <x v="5"/>
    <x v="54"/>
    <n v="0.32"/>
    <n v="0.28000000000000003"/>
    <n v="0.33"/>
    <n v="0.24"/>
    <s v="16.00B"/>
    <n v="0.1429"/>
    <n v="0.12499999999999993"/>
  </r>
  <r>
    <x v="5"/>
    <x v="55"/>
    <n v="0.36"/>
    <n v="0.33"/>
    <n v="0.38"/>
    <n v="0.32"/>
    <s v="13.23B"/>
    <n v="0.125"/>
    <n v="5.5555555555555608E-2"/>
  </r>
  <r>
    <x v="5"/>
    <x v="56"/>
    <n v="0.38"/>
    <n v="0.36"/>
    <n v="0.41"/>
    <n v="0.35"/>
    <s v="12.08B"/>
    <n v="5.5599999999999997E-2"/>
    <n v="-0.21052631578947373"/>
  </r>
  <r>
    <x v="5"/>
    <x v="57"/>
    <n v="0.3"/>
    <n v="0.37"/>
    <n v="0.37"/>
    <n v="0.3"/>
    <s v="15.52B"/>
    <n v="-0.21049999999999999"/>
    <n v="0.10000000000000009"/>
  </r>
  <r>
    <x v="5"/>
    <x v="58"/>
    <n v="0.33"/>
    <n v="0.3"/>
    <n v="0.35"/>
    <n v="0.28999999999999998"/>
    <s v="12.86B"/>
    <n v="0.1"/>
    <n v="0.42424242424242409"/>
  </r>
  <r>
    <x v="5"/>
    <x v="59"/>
    <n v="0.47"/>
    <n v="0.33"/>
    <n v="0.47"/>
    <n v="0.33"/>
    <s v="16.37B"/>
    <n v="0.42420000000000002"/>
    <n v="-0.1914893617021276"/>
  </r>
  <r>
    <x v="5"/>
    <x v="60"/>
    <n v="0.38"/>
    <n v="0.46"/>
    <n v="0.47"/>
    <n v="0.38"/>
    <s v="12.90B"/>
    <n v="-0.1915"/>
    <n v="7.8947368421052558E-2"/>
  </r>
  <r>
    <x v="5"/>
    <x v="61"/>
    <n v="0.41"/>
    <n v="0.39"/>
    <n v="0.45"/>
    <n v="0.38"/>
    <s v="12.86B"/>
    <n v="7.8899999999999998E-2"/>
    <n v="4.8780487804878092E-2"/>
  </r>
  <r>
    <x v="5"/>
    <x v="62"/>
    <n v="0.43"/>
    <n v="0.41"/>
    <n v="0.46"/>
    <n v="0.4"/>
    <s v="11.75B"/>
    <n v="4.8800000000000003E-2"/>
    <n v="-9.3023255813953445E-2"/>
  </r>
  <r>
    <x v="5"/>
    <x v="63"/>
    <n v="0.39"/>
    <n v="0.44"/>
    <n v="0.45"/>
    <n v="0.39"/>
    <s v="17.11B"/>
    <n v="-9.2999999999999999E-2"/>
    <n v="-0.15384615384615383"/>
  </r>
  <r>
    <x v="5"/>
    <x v="64"/>
    <n v="0.33"/>
    <n v="0.39"/>
    <n v="0.4"/>
    <n v="0.3"/>
    <s v="20.77B"/>
    <n v="-0.15379999999999999"/>
    <n v="-0.21212121212121213"/>
  </r>
  <r>
    <x v="5"/>
    <x v="65"/>
    <n v="0.26"/>
    <n v="0.32"/>
    <n v="0.33"/>
    <n v="0.26"/>
    <s v="13.69B"/>
    <n v="-0.21210000000000001"/>
    <n v="-0.11538461538461538"/>
  </r>
  <r>
    <x v="5"/>
    <x v="66"/>
    <n v="0.23"/>
    <n v="0.26"/>
    <n v="0.28999999999999998"/>
    <n v="0.22"/>
    <s v="19.24B"/>
    <n v="-0.1154"/>
    <n v="0"/>
  </r>
  <r>
    <x v="5"/>
    <x v="67"/>
    <n v="0.23"/>
    <n v="0.23"/>
    <n v="0.26"/>
    <n v="0.22"/>
    <s v="19.42B"/>
    <n v="0"/>
    <n v="0.26086956521739119"/>
  </r>
  <r>
    <x v="5"/>
    <x v="68"/>
    <n v="0.28999999999999998"/>
    <n v="0.24"/>
    <n v="0.31"/>
    <n v="0.23"/>
    <s v="17.53B"/>
    <n v="0.26090000000000002"/>
    <n v="3.4482758620689689E-2"/>
  </r>
  <r>
    <x v="5"/>
    <x v="69"/>
    <n v="0.3"/>
    <n v="0.3"/>
    <n v="0.31"/>
    <n v="0.26"/>
    <s v="15.81B"/>
    <n v="3.4500000000000003E-2"/>
    <n v="0.13333333333333347"/>
  </r>
  <r>
    <x v="5"/>
    <x v="70"/>
    <n v="0.34"/>
    <n v="0.3"/>
    <n v="0.35"/>
    <n v="0.3"/>
    <s v="14.54B"/>
    <n v="0.1333"/>
    <n v="0.14705882352941171"/>
  </r>
  <r>
    <x v="5"/>
    <x v="71"/>
    <n v="0.39"/>
    <n v="0.35"/>
    <n v="0.39"/>
    <n v="0.35"/>
    <s v="11.21B"/>
    <n v="0.14710000000000001"/>
    <n v="0.53846153846153832"/>
  </r>
  <r>
    <x v="5"/>
    <x v="72"/>
    <n v="0.6"/>
    <n v="0.39"/>
    <n v="0.63"/>
    <n v="0.39"/>
    <s v="32.74B"/>
    <n v="0.53849999999999998"/>
    <n v="-5.0000000000000044E-2"/>
  </r>
  <r>
    <x v="5"/>
    <x v="73"/>
    <n v="0.56999999999999995"/>
    <n v="0.6"/>
    <n v="0.65"/>
    <n v="0.54"/>
    <s v="24.03B"/>
    <n v="-0.05"/>
    <n v="-0.19298245614035078"/>
  </r>
  <r>
    <x v="5"/>
    <x v="74"/>
    <n v="0.46"/>
    <n v="0.56999999999999995"/>
    <n v="0.56999999999999995"/>
    <n v="0.43"/>
    <s v="27.60B"/>
    <n v="-0.193"/>
    <n v="8.6956521739130391E-2"/>
  </r>
  <r>
    <x v="5"/>
    <x v="75"/>
    <n v="0.5"/>
    <n v="0.47"/>
    <n v="0.51"/>
    <n v="0.42"/>
    <s v="15.33B"/>
    <n v="8.6999999999999994E-2"/>
    <n v="0"/>
  </r>
  <r>
    <x v="5"/>
    <x v="76"/>
    <n v="0.5"/>
    <n v="0.51"/>
    <n v="0.51"/>
    <n v="0.43"/>
    <s v="17.17B"/>
    <n v="0"/>
    <n v="-0.19999999999999996"/>
  </r>
  <r>
    <x v="5"/>
    <x v="77"/>
    <n v="0.4"/>
    <n v="0.5"/>
    <n v="0.5"/>
    <n v="0.37"/>
    <s v="15.96B"/>
    <n v="-0.2"/>
    <n v="-0.12500000000000011"/>
  </r>
  <r>
    <x v="5"/>
    <x v="78"/>
    <n v="0.35"/>
    <n v="0.4"/>
    <n v="0.41"/>
    <n v="0.34"/>
    <s v="14.55B"/>
    <n v="-0.125"/>
    <n v="-5.7142857142857037E-2"/>
  </r>
  <r>
    <x v="5"/>
    <x v="79"/>
    <n v="0.33"/>
    <n v="0.35"/>
    <n v="0.38"/>
    <n v="0.28999999999999998"/>
    <s v="22.57B"/>
    <n v="-5.7099999999999998E-2"/>
    <n v="-6.0606060606060656E-2"/>
  </r>
  <r>
    <x v="5"/>
    <x v="80"/>
    <n v="0.31"/>
    <n v="0.34"/>
    <n v="0.4"/>
    <n v="0.31"/>
    <s v="20.09B"/>
    <n v="-6.0600000000000001E-2"/>
    <n v="0.19354838709677419"/>
  </r>
  <r>
    <x v="5"/>
    <x v="81"/>
    <n v="0.37"/>
    <n v="0.31"/>
    <n v="0.4"/>
    <n v="0.28999999999999998"/>
    <s v="14.85B"/>
    <n v="0.19350000000000001"/>
    <n v="5.4054054054054106E-2"/>
  </r>
  <r>
    <x v="5"/>
    <x v="82"/>
    <n v="0.39"/>
    <n v="0.36"/>
    <n v="0.39"/>
    <n v="0.34"/>
    <s v="16.17B"/>
    <n v="5.4100000000000002E-2"/>
    <n v="-0.10256410256410266"/>
  </r>
  <r>
    <x v="5"/>
    <x v="83"/>
    <n v="0.35"/>
    <n v="0.39"/>
    <n v="0.4"/>
    <n v="0.33"/>
    <s v="9.74B"/>
    <n v="-0.1026"/>
    <n v="5.7142857142857197E-2"/>
  </r>
  <r>
    <x v="5"/>
    <x v="84"/>
    <n v="0.37"/>
    <n v="0.36"/>
    <n v="0.38"/>
    <n v="0.34"/>
    <s v="11.60B"/>
    <n v="5.7099999999999998E-2"/>
    <n v="2.7027027027027053E-2"/>
  </r>
  <r>
    <x v="5"/>
    <x v="85"/>
    <n v="0.38"/>
    <n v="0.37"/>
    <n v="0.42"/>
    <n v="0.37"/>
    <s v="13.08B"/>
    <n v="2.7E-2"/>
    <n v="0"/>
  </r>
  <r>
    <x v="5"/>
    <x v="86"/>
    <n v="0.38"/>
    <n v="0.38"/>
    <n v="0.39"/>
    <n v="0.36"/>
    <s v="10.33B"/>
    <n v="0"/>
    <n v="-0.13157894736842102"/>
  </r>
  <r>
    <x v="5"/>
    <x v="87"/>
    <n v="0.33"/>
    <n v="0.38"/>
    <n v="0.39"/>
    <n v="0.32"/>
    <s v="9.55B"/>
    <n v="-0.13159999999999999"/>
    <n v="-6.0606060606060656E-2"/>
  </r>
  <r>
    <x v="5"/>
    <x v="88"/>
    <n v="0.31"/>
    <n v="0.32"/>
    <n v="0.34"/>
    <n v="0.3"/>
    <s v="11.37B"/>
    <n v="-6.0600000000000001E-2"/>
    <n v="0.12903225806451607"/>
  </r>
  <r>
    <x v="5"/>
    <x v="89"/>
    <n v="0.35"/>
    <n v="0.3"/>
    <n v="0.35"/>
    <n v="0.28999999999999998"/>
    <s v="11.53B"/>
    <n v="0.129"/>
    <n v="-2.8571428571428439E-2"/>
  </r>
  <r>
    <x v="5"/>
    <x v="90"/>
    <n v="0.34"/>
    <n v="0.35"/>
    <n v="0.35"/>
    <n v="0.3"/>
    <s v="8.50B"/>
    <n v="-2.86E-2"/>
    <n v="2.9411764705882214E-2"/>
  </r>
  <r>
    <x v="5"/>
    <x v="91"/>
    <n v="0.35"/>
    <n v="0.34"/>
    <n v="0.38"/>
    <n v="0.33"/>
    <s v="9.92B"/>
    <n v="2.9399999999999999E-2"/>
    <n v="-5.7142857142857037E-2"/>
  </r>
  <r>
    <x v="5"/>
    <x v="92"/>
    <n v="0.33"/>
    <n v="0.34"/>
    <n v="0.35"/>
    <n v="0.32"/>
    <s v="8.75B"/>
    <n v="-5.7099999999999998E-2"/>
    <n v="-9.0909090909090981E-2"/>
  </r>
  <r>
    <x v="5"/>
    <x v="93"/>
    <n v="0.3"/>
    <n v="0.34"/>
    <n v="0.34"/>
    <n v="0.3"/>
    <s v="8.14B"/>
    <n v="-9.0899999999999995E-2"/>
    <n v="0"/>
  </r>
  <r>
    <x v="5"/>
    <x v="94"/>
    <n v="0.3"/>
    <n v="0.3"/>
    <n v="0.33"/>
    <n v="0.28000000000000003"/>
    <s v="9.99B"/>
    <n v="0"/>
    <n v="3.3333333333333368E-2"/>
  </r>
  <r>
    <x v="5"/>
    <x v="95"/>
    <n v="0.31"/>
    <n v="0.3"/>
    <n v="0.32"/>
    <n v="0.28999999999999998"/>
    <s v="8.04B"/>
    <n v="3.3300000000000003E-2"/>
    <n v="0"/>
  </r>
  <r>
    <x v="5"/>
    <x v="96"/>
    <n v="0.31"/>
    <n v="0.31"/>
    <n v="0.33"/>
    <n v="0.3"/>
    <s v="9.18B"/>
    <n v="0"/>
    <n v="3.2258064516129059E-2"/>
  </r>
  <r>
    <x v="5"/>
    <x v="97"/>
    <n v="0.32"/>
    <n v="0.31"/>
    <n v="0.32"/>
    <n v="0.3"/>
    <s v="9.90B"/>
    <n v="3.2300000000000002E-2"/>
    <n v="0"/>
  </r>
  <r>
    <x v="5"/>
    <x v="98"/>
    <n v="0.32"/>
    <n v="0.31"/>
    <n v="0.33"/>
    <n v="0.31"/>
    <s v="6.61B"/>
    <n v="0"/>
    <n v="6.2500000000000056E-2"/>
  </r>
  <r>
    <x v="5"/>
    <x v="99"/>
    <n v="0.34"/>
    <n v="0.32"/>
    <n v="0.34"/>
    <n v="0.3"/>
    <s v="9.39B"/>
    <n v="6.25E-2"/>
    <n v="5.8823529411764594E-2"/>
  </r>
  <r>
    <x v="5"/>
    <x v="100"/>
    <n v="0.36"/>
    <n v="0.34"/>
    <n v="0.37"/>
    <n v="0.34"/>
    <s v="8.29B"/>
    <n v="5.8799999999999998E-2"/>
    <n v="-2.7777777777777804E-2"/>
  </r>
  <r>
    <x v="5"/>
    <x v="101"/>
    <n v="0.35"/>
    <n v="0.36"/>
    <n v="0.39"/>
    <n v="0.35"/>
    <s v="9.30B"/>
    <n v="-2.7799999999999998E-2"/>
    <n v="2.8571428571428598E-2"/>
  </r>
  <r>
    <x v="5"/>
    <x v="102"/>
    <n v="0.36"/>
    <n v="0.35"/>
    <n v="0.37"/>
    <n v="0.35"/>
    <s v="5.23B"/>
    <n v="2.86E-2"/>
    <n v="2.7777777777777804E-2"/>
  </r>
  <r>
    <x v="5"/>
    <x v="103"/>
    <n v="0.37"/>
    <n v="0.36"/>
    <n v="0.39"/>
    <n v="0.33"/>
    <s v="7.86B"/>
    <n v="2.7799999999999998E-2"/>
    <n v="5.4054054054054106E-2"/>
  </r>
  <r>
    <x v="5"/>
    <x v="104"/>
    <n v="0.39"/>
    <n v="0.37"/>
    <n v="0.4"/>
    <n v="0.37"/>
    <s v="4.82B"/>
    <n v="5.4100000000000002E-2"/>
    <n v="-2.5641025641025664E-2"/>
  </r>
  <r>
    <x v="5"/>
    <x v="105"/>
    <n v="0.38"/>
    <n v="0.39"/>
    <n v="0.4"/>
    <n v="0.38"/>
    <s v="5.77B"/>
    <n v="-2.5600000000000001E-2"/>
    <n v="2.6315789473684233E-2"/>
  </r>
  <r>
    <x v="5"/>
    <x v="106"/>
    <n v="0.39"/>
    <n v="0.38"/>
    <n v="0.41"/>
    <n v="0.36"/>
    <s v="6.63B"/>
    <n v="2.63E-2"/>
    <n v="2.5641025641025664E-2"/>
  </r>
  <r>
    <x v="5"/>
    <x v="107"/>
    <n v="0.4"/>
    <n v="0.39"/>
    <n v="0.4"/>
    <n v="0.37"/>
    <s v="6.17B"/>
    <n v="2.5600000000000001E-2"/>
    <n v="-2.5000000000000022E-2"/>
  </r>
  <r>
    <x v="5"/>
    <x v="108"/>
    <n v="0.39"/>
    <n v="0.4"/>
    <n v="0.41"/>
    <n v="0.38"/>
    <s v="5.42B"/>
    <n v="-2.5000000000000001E-2"/>
    <n v="0.17948717948717949"/>
  </r>
  <r>
    <x v="5"/>
    <x v="109"/>
    <n v="0.46"/>
    <n v="0.4"/>
    <n v="0.48"/>
    <n v="0.38"/>
    <s v="7.72B"/>
    <n v="0.17949999999999999"/>
    <n v="-2.1739130434782625E-2"/>
  </r>
  <r>
    <x v="5"/>
    <x v="110"/>
    <n v="0.45"/>
    <n v="0.45"/>
    <n v="0.47"/>
    <n v="0.44"/>
    <s v="7.22B"/>
    <n v="-2.1700000000000001E-2"/>
    <n v="2.222222222222224E-2"/>
  </r>
  <r>
    <x v="5"/>
    <x v="111"/>
    <n v="0.46"/>
    <n v="0.46"/>
    <n v="0.49"/>
    <n v="0.45"/>
    <s v="6.94B"/>
    <n v="2.2200000000000001E-2"/>
    <n v="2.1739130434782507E-2"/>
  </r>
  <r>
    <x v="5"/>
    <x v="112"/>
    <n v="0.47"/>
    <n v="0.47"/>
    <n v="0.48"/>
    <n v="0.44"/>
    <s v="5.61B"/>
    <n v="2.1700000000000001E-2"/>
    <n v="-2.1276595744680753E-2"/>
  </r>
  <r>
    <x v="5"/>
    <x v="113"/>
    <n v="0.46"/>
    <n v="0.48"/>
    <n v="0.49"/>
    <n v="0.46"/>
    <s v="5.28B"/>
    <n v="-1.38E-2"/>
    <n v="-4.3478260869565251E-2"/>
  </r>
  <r>
    <x v="5"/>
    <x v="114"/>
    <n v="0.44"/>
    <n v="0.46"/>
    <n v="0.49"/>
    <n v="0.44"/>
    <s v="6.27B"/>
    <n v="-5.6099999999999997E-2"/>
    <n v="0.1136363636363636"/>
  </r>
  <r>
    <x v="5"/>
    <x v="115"/>
    <n v="0.49"/>
    <n v="0.44"/>
    <n v="0.49"/>
    <n v="0.43"/>
    <s v="6.08B"/>
    <n v="0.1114"/>
    <n v="-6.122448979591831E-2"/>
  </r>
  <r>
    <x v="5"/>
    <x v="116"/>
    <n v="0.46"/>
    <n v="0.49"/>
    <n v="0.5"/>
    <n v="0.46"/>
    <s v="5.51B"/>
    <n v="-5.1400000000000001E-2"/>
    <n v="6.5217391304347755E-2"/>
  </r>
  <r>
    <x v="5"/>
    <x v="117"/>
    <n v="0.49"/>
    <n v="0.46"/>
    <n v="0.49"/>
    <n v="0.42"/>
    <s v="6.61B"/>
    <n v="5.91E-2"/>
    <n v="6.1224489795918421E-2"/>
  </r>
  <r>
    <x v="5"/>
    <x v="118"/>
    <n v="0.52"/>
    <n v="0.5"/>
    <n v="0.53"/>
    <n v="0.48"/>
    <s v="4.64B"/>
    <n v="7.3200000000000001E-2"/>
    <n v="-3.8461538461538491E-2"/>
  </r>
  <r>
    <x v="5"/>
    <x v="119"/>
    <n v="0.5"/>
    <n v="0.52"/>
    <n v="0.53"/>
    <n v="0.48"/>
    <s v="4.26B"/>
    <n v="-4.3900000000000002E-2"/>
    <n v="-4.0000000000000036E-2"/>
  </r>
  <r>
    <x v="5"/>
    <x v="120"/>
    <n v="0.48"/>
    <n v="0.5"/>
    <n v="0.52"/>
    <n v="0.48"/>
    <s v="4.14B"/>
    <n v="-4.2099999999999999E-2"/>
    <n v="0.14583333333333348"/>
  </r>
  <r>
    <x v="5"/>
    <x v="121"/>
    <n v="0.55000000000000004"/>
    <n v="0.48"/>
    <n v="0.56000000000000005"/>
    <n v="0.47"/>
    <s v="4.19B"/>
    <n v="0.1487"/>
    <n v="-5.4545454545454591E-2"/>
  </r>
  <r>
    <x v="5"/>
    <x v="122"/>
    <n v="0.52"/>
    <n v="0.55000000000000004"/>
    <n v="0.59"/>
    <n v="0.51"/>
    <s v="7.31B"/>
    <n v="-5.1499999999999997E-2"/>
    <n v="5.7692307692307744E-2"/>
  </r>
  <r>
    <x v="5"/>
    <x v="123"/>
    <n v="0.55000000000000004"/>
    <n v="0.53"/>
    <n v="0.56999999999999995"/>
    <n v="0.52"/>
    <s v="5.67B"/>
    <n v="6.0699999999999997E-2"/>
    <n v="0"/>
  </r>
  <r>
    <x v="5"/>
    <x v="124"/>
    <n v="0.55000000000000004"/>
    <n v="0.56000000000000005"/>
    <n v="0.56999999999999995"/>
    <n v="0.51"/>
    <s v="7.08B"/>
    <n v="0"/>
    <n v="-9.0909090909090981E-2"/>
  </r>
  <r>
    <x v="5"/>
    <x v="125"/>
    <n v="0.5"/>
    <n v="0.56000000000000005"/>
    <n v="0.56999999999999995"/>
    <n v="0.5"/>
    <s v="7.33B"/>
    <n v="-9.1300000000000006E-2"/>
    <n v="0"/>
  </r>
  <r>
    <x v="5"/>
    <x v="126"/>
    <n v="0.5"/>
    <n v="0.52"/>
    <n v="0.52"/>
    <n v="0.48"/>
    <s v="5.48B"/>
    <n v="0"/>
    <n v="0.12000000000000011"/>
  </r>
  <r>
    <x v="5"/>
    <x v="127"/>
    <n v="0.56000000000000005"/>
    <n v="0.5"/>
    <n v="0.6"/>
    <n v="0.5"/>
    <s v="9.47B"/>
    <n v="0.1268"/>
    <n v="0.10714285714285703"/>
  </r>
  <r>
    <x v="5"/>
    <x v="128"/>
    <n v="0.62"/>
    <n v="0.55000000000000004"/>
    <n v="0.62"/>
    <n v="0.54"/>
    <s v="6.48B"/>
    <n v="9.6500000000000002E-2"/>
    <n v="0.1451612903225806"/>
  </r>
  <r>
    <x v="5"/>
    <x v="129"/>
    <n v="0.71"/>
    <n v="0.62"/>
    <n v="0.72"/>
    <n v="0.59"/>
    <s v="8.05B"/>
    <n v="0.15090000000000001"/>
    <n v="0.11267605633802827"/>
  </r>
  <r>
    <x v="5"/>
    <x v="130"/>
    <n v="0.79"/>
    <n v="0.71"/>
    <n v="0.8"/>
    <n v="0.69"/>
    <s v="7.35B"/>
    <n v="0.1181"/>
    <n v="3.7974683544303688E-2"/>
  </r>
  <r>
    <x v="5"/>
    <x v="131"/>
    <n v="0.82"/>
    <n v="0.8"/>
    <n v="0.85"/>
    <n v="0.8"/>
    <s v="5.63B"/>
    <n v="3.9100000000000003E-2"/>
    <n v="-0.10975609756097558"/>
  </r>
  <r>
    <x v="5"/>
    <x v="132"/>
    <n v="0.73"/>
    <n v="0.81"/>
    <n v="0.84"/>
    <n v="0.66"/>
    <s v="8.14B"/>
    <n v="-0.1113"/>
    <n v="6.8493150684931572E-2"/>
  </r>
  <r>
    <x v="5"/>
    <x v="133"/>
    <n v="0.78"/>
    <n v="0.73"/>
    <n v="0.8"/>
    <n v="0.62"/>
    <s v="9.00B"/>
    <n v="7.0699999999999999E-2"/>
    <n v="0.141025641025641"/>
  </r>
  <r>
    <x v="5"/>
    <x v="134"/>
    <n v="0.89"/>
    <n v="0.79"/>
    <n v="0.91"/>
    <n v="0.78"/>
    <s v="6.58B"/>
    <n v="0.13619999999999999"/>
    <n v="0"/>
  </r>
  <r>
    <x v="5"/>
    <x v="135"/>
    <n v="0.89"/>
    <n v="0.89"/>
    <n v="0.94"/>
    <n v="0.87"/>
    <s v="6.73B"/>
    <n v="0"/>
    <n v="0.31460674157303359"/>
  </r>
  <r>
    <x v="5"/>
    <x v="136"/>
    <n v="1.17"/>
    <n v="0.9"/>
    <n v="1.17"/>
    <n v="0.86"/>
    <s v="10.37B"/>
    <n v="0.31490000000000001"/>
    <n v="8.5470085470085548E-3"/>
  </r>
  <r>
    <x v="5"/>
    <x v="137"/>
    <n v="1.18"/>
    <n v="1.1599999999999999"/>
    <n v="1.21"/>
    <n v="1.1100000000000001"/>
    <s v="8.20B"/>
    <n v="6.1999999999999998E-3"/>
    <n v="0.21186440677966104"/>
  </r>
  <r>
    <x v="5"/>
    <x v="138"/>
    <n v="1.43"/>
    <n v="1.17"/>
    <n v="1.43"/>
    <n v="1.1499999999999999"/>
    <s v="7.21B"/>
    <n v="0.21460000000000001"/>
    <n v="6.9930069930069991E-2"/>
  </r>
  <r>
    <x v="5"/>
    <x v="139"/>
    <n v="1.53"/>
    <n v="1.43"/>
    <n v="1.59"/>
    <n v="1.39"/>
    <s v="9.31B"/>
    <n v="7.4300000000000005E-2"/>
    <n v="0.11764705882352937"/>
  </r>
  <r>
    <x v="5"/>
    <x v="140"/>
    <n v="1.71"/>
    <n v="1.53"/>
    <n v="1.73"/>
    <n v="1.43"/>
    <s v="8.67B"/>
    <n v="0.1171"/>
    <n v="4.0935672514619922E-2"/>
  </r>
  <r>
    <x v="5"/>
    <x v="141"/>
    <n v="1.78"/>
    <n v="1.71"/>
    <n v="1.82"/>
    <n v="1.59"/>
    <s v="6.55B"/>
    <n v="3.85E-2"/>
    <n v="0.29775280898876405"/>
  </r>
  <r>
    <x v="5"/>
    <x v="142"/>
    <n v="2.31"/>
    <n v="1.79"/>
    <n v="2.38"/>
    <n v="1.66"/>
    <s v="12.77B"/>
    <n v="0.29570000000000002"/>
    <n v="0.15584415584415579"/>
  </r>
  <r>
    <x v="5"/>
    <x v="143"/>
    <n v="2.67"/>
    <n v="2.2999999999999998"/>
    <n v="3"/>
    <n v="2.12"/>
    <s v="18.08B"/>
    <n v="0.15770000000000001"/>
    <n v="2.2471910112359571E-2"/>
  </r>
  <r>
    <x v="5"/>
    <x v="144"/>
    <n v="2.73"/>
    <n v="2.61"/>
    <n v="2.8"/>
    <n v="2.48"/>
    <s v="13.40B"/>
    <n v="2.29E-2"/>
    <n v="-6.9597069597069572E-2"/>
  </r>
  <r>
    <x v="5"/>
    <x v="145"/>
    <n v="2.54"/>
    <n v="2.76"/>
    <n v="3.02"/>
    <n v="2.39"/>
    <s v="14.21B"/>
    <n v="-7.0499999999999993E-2"/>
    <n v="7.0866141732283533E-2"/>
  </r>
  <r>
    <x v="5"/>
    <x v="146"/>
    <n v="2.72"/>
    <n v="2.59"/>
    <n v="2.75"/>
    <n v="2.38"/>
    <s v="14.29B"/>
    <n v="7.3400000000000007E-2"/>
    <n v="-4.0441176470588348E-2"/>
  </r>
  <r>
    <x v="5"/>
    <x v="147"/>
    <n v="2.61"/>
    <n v="2.72"/>
    <n v="2.74"/>
    <n v="2.39"/>
    <s v="9.57B"/>
    <n v="-4.2500000000000003E-2"/>
    <n v="0.38314176245210729"/>
  </r>
  <r>
    <x v="5"/>
    <x v="148"/>
    <n v="3.61"/>
    <n v="2.62"/>
    <n v="3.67"/>
    <n v="2.56"/>
    <s v="19.21B"/>
    <n v="0.38400000000000001"/>
    <n v="0"/>
  </r>
  <r>
    <x v="5"/>
    <x v="149"/>
    <n v="3.61"/>
    <n v="3.62"/>
    <n v="4.21"/>
    <n v="3.55"/>
    <s v="23.45B"/>
    <n v="1.5E-3"/>
    <n v="0.1246537396121883"/>
  </r>
  <r>
    <x v="5"/>
    <x v="150"/>
    <n v="4.0599999999999996"/>
    <n v="3.63"/>
    <n v="4.25"/>
    <n v="3.46"/>
    <s v="15.49B"/>
    <n v="0.1242"/>
    <n v="4.4334975369458282E-2"/>
  </r>
  <r>
    <x v="5"/>
    <x v="151"/>
    <n v="4.24"/>
    <n v="4.05"/>
    <n v="4.3600000000000003"/>
    <n v="3.82"/>
    <s v="14.73B"/>
    <n v="4.2599999999999999E-2"/>
    <n v="5.4245283018867815E-2"/>
  </r>
  <r>
    <x v="5"/>
    <x v="152"/>
    <n v="4.47"/>
    <n v="4.25"/>
    <n v="4.78"/>
    <n v="4.07"/>
    <s v="14.45B"/>
    <n v="5.5100000000000003E-2"/>
    <n v="0.156599552572707"/>
  </r>
  <r>
    <x v="5"/>
    <x v="153"/>
    <n v="5.17"/>
    <n v="4.5199999999999996"/>
    <n v="5.2"/>
    <n v="4.43"/>
    <s v="11.42B"/>
    <n v="0.15679999999999999"/>
    <n v="-2.9013539651837592E-2"/>
  </r>
  <r>
    <x v="5"/>
    <x v="154"/>
    <n v="5.0199999999999996"/>
    <n v="5.23"/>
    <n v="5.47"/>
    <n v="4.78"/>
    <s v="11.83B"/>
    <n v="-2.9499999999999998E-2"/>
    <n v="-3.585657370517923E-2"/>
  </r>
  <r>
    <x v="5"/>
    <x v="155"/>
    <n v="4.84"/>
    <n v="4.9800000000000004"/>
    <n v="5.01"/>
    <n v="4.51"/>
    <s v="10.11B"/>
    <n v="-3.5900000000000001E-2"/>
    <n v="0.26859504132231404"/>
  </r>
  <r>
    <x v="5"/>
    <x v="156"/>
    <n v="6.14"/>
    <n v="4.8899999999999997"/>
    <n v="6.23"/>
    <n v="4.8600000000000003"/>
    <s v="11.46B"/>
    <n v="0.27029999999999998"/>
    <n v="-1.4657980456026036E-2"/>
  </r>
  <r>
    <x v="5"/>
    <x v="157"/>
    <n v="6.05"/>
    <n v="5.96"/>
    <n v="6.3"/>
    <n v="5.0999999999999996"/>
    <s v="14.92B"/>
    <n v="-1.55E-2"/>
    <n v="-4.2975206611570213E-2"/>
  </r>
  <r>
    <x v="5"/>
    <x v="158"/>
    <n v="5.79"/>
    <n v="6.05"/>
    <n v="6.36"/>
    <n v="5.43"/>
    <s v="14.12B"/>
    <n v="-4.2999999999999997E-2"/>
    <n v="-2.936096718480137E-2"/>
  </r>
  <r>
    <x v="5"/>
    <x v="159"/>
    <n v="5.62"/>
    <n v="5.72"/>
    <n v="5.98"/>
    <n v="5.26"/>
    <s v="11.15B"/>
    <n v="-2.8899999999999999E-2"/>
    <n v="0.12099644128113873"/>
  </r>
  <r>
    <x v="5"/>
    <x v="160"/>
    <n v="6.3"/>
    <n v="5.61"/>
    <n v="6.51"/>
    <n v="5.55"/>
    <s v="11.98B"/>
    <n v="0.12130000000000001"/>
    <n v="-6.0317460317460304E-2"/>
  </r>
  <r>
    <x v="5"/>
    <x v="161"/>
    <n v="5.92"/>
    <n v="6.35"/>
    <n v="6.73"/>
    <n v="5.88"/>
    <s v="8.79B"/>
    <n v="-6.0600000000000001E-2"/>
    <n v="3.3783783783783813E-2"/>
  </r>
  <r>
    <x v="5"/>
    <x v="162"/>
    <n v="6.12"/>
    <n v="5.85"/>
    <n v="6.41"/>
    <n v="5.83"/>
    <s v="6.32B"/>
    <n v="3.3599999999999998E-2"/>
    <n v="0.14705882352941169"/>
  </r>
  <r>
    <x v="5"/>
    <x v="163"/>
    <n v="7.02"/>
    <n v="6.15"/>
    <n v="7.04"/>
    <n v="5.97"/>
    <s v="10.92B"/>
    <n v="0.14630000000000001"/>
    <n v="1.4245014245015208E-3"/>
  </r>
  <r>
    <x v="5"/>
    <x v="164"/>
    <n v="7.03"/>
    <n v="7"/>
    <n v="7.13"/>
    <n v="6.47"/>
    <s v="6.34B"/>
    <n v="1.1999999999999999E-3"/>
    <n v="-0.25035561877667151"/>
  </r>
  <r>
    <x v="5"/>
    <x v="165"/>
    <n v="5.27"/>
    <n v="7.1"/>
    <n v="7.32"/>
    <n v="4.4000000000000004"/>
    <s v="12.98B"/>
    <n v="-0.24979999999999999"/>
    <n v="-0.22390891840607208"/>
  </r>
  <r>
    <x v="5"/>
    <x v="166"/>
    <n v="4.09"/>
    <n v="5.31"/>
    <n v="5.55"/>
    <n v="3.33"/>
    <s v="16.16B"/>
    <n v="-0.2248"/>
    <n v="-0.18337408312958436"/>
  </r>
  <r>
    <x v="5"/>
    <x v="167"/>
    <n v="3.34"/>
    <n v="4.32"/>
    <n v="4.37"/>
    <n v="3.11"/>
    <s v="12.45B"/>
    <n v="-0.18310000000000001"/>
    <n v="7.4850299401197612E-2"/>
  </r>
  <r>
    <x v="5"/>
    <x v="168"/>
    <n v="3.59"/>
    <n v="3.27"/>
    <n v="4.0199999999999996"/>
    <n v="3.19"/>
    <s v="16.87B"/>
    <n v="7.6799999999999993E-2"/>
    <n v="7.5208913649025072E-2"/>
  </r>
  <r>
    <x v="5"/>
    <x v="169"/>
    <n v="3.86"/>
    <n v="3.61"/>
    <n v="4.13"/>
    <n v="3.56"/>
    <s v="11.45B"/>
    <n v="7.3099999999999998E-2"/>
    <n v="0.1632124352331607"/>
  </r>
  <r>
    <x v="5"/>
    <x v="170"/>
    <n v="4.49"/>
    <n v="3.91"/>
    <n v="4.63"/>
    <n v="3.62"/>
    <s v="12.07B"/>
    <n v="0.16400000000000001"/>
    <n v="8.9086859688196074E-3"/>
  </r>
  <r>
    <x v="5"/>
    <x v="171"/>
    <n v="4.53"/>
    <n v="4.58"/>
    <n v="4.84"/>
    <n v="4.33"/>
    <s v="9.44B"/>
    <n v="8.0000000000000002E-3"/>
    <n v="-0.25165562913907286"/>
  </r>
  <r>
    <x v="5"/>
    <x v="172"/>
    <n v="3.39"/>
    <n v="4.58"/>
    <n v="4.62"/>
    <n v="3.38"/>
    <s v="11.18B"/>
    <n v="-0.25159999999999999"/>
    <n v="0.2123893805309735"/>
  </r>
  <r>
    <x v="5"/>
    <x v="173"/>
    <n v="4.1100000000000003"/>
    <n v="3.4"/>
    <n v="4.13"/>
    <n v="3.32"/>
    <s v="8.23B"/>
    <n v="0.21240000000000001"/>
    <n v="2.6763990267639762E-2"/>
  </r>
  <r>
    <x v="5"/>
    <x v="174"/>
    <n v="4.22"/>
    <n v="4.3099999999999996"/>
    <n v="4.47"/>
    <n v="3.88"/>
    <s v="8.42B"/>
    <n v="2.7300000000000001E-2"/>
    <n v="-7.1090047393363416E-3"/>
  </r>
  <r>
    <x v="5"/>
    <x v="175"/>
    <n v="4.1900000000000004"/>
    <n v="4.2300000000000004"/>
    <n v="4.34"/>
    <n v="3.68"/>
    <s v="9.55B"/>
    <n v="-7.1999999999999998E-3"/>
    <n v="3.8186157517899583E-2"/>
  </r>
  <r>
    <x v="5"/>
    <x v="176"/>
    <n v="4.3499999999999996"/>
    <n v="4.1100000000000003"/>
    <n v="4.71"/>
    <n v="4.08"/>
    <s v="6.41B"/>
    <n v="3.9199999999999999E-2"/>
    <n v="0.15632183908045993"/>
  </r>
  <r>
    <x v="5"/>
    <x v="177"/>
    <n v="5.03"/>
    <n v="4.38"/>
    <n v="5.22"/>
    <n v="4.25"/>
    <s v="7.81B"/>
    <n v="0.15479999999999999"/>
    <n v="7.7534791252485025E-2"/>
  </r>
  <r>
    <x v="5"/>
    <x v="178"/>
    <n v="5.42"/>
    <n v="4.99"/>
    <n v="5.54"/>
    <n v="4.96"/>
    <s v="7.34B"/>
    <n v="7.8200000000000006E-2"/>
    <n v="8.4870848708487073E-2"/>
  </r>
  <r>
    <x v="5"/>
    <x v="179"/>
    <n v="5.88"/>
    <n v="5.41"/>
    <n v="6.05"/>
    <n v="5.01"/>
    <s v="6.57B"/>
    <n v="8.5599999999999996E-2"/>
    <n v="5.1020408163265727E-3"/>
  </r>
  <r>
    <x v="5"/>
    <x v="180"/>
    <n v="5.91"/>
    <n v="5.97"/>
    <n v="6.49"/>
    <n v="5.78"/>
    <s v="6.13B"/>
    <n v="4.7999999999999996E-3"/>
    <n v="0.14213197969543145"/>
  </r>
  <r>
    <x v="5"/>
    <x v="181"/>
    <n v="6.75"/>
    <n v="5.89"/>
    <n v="7.91"/>
    <n v="5.89"/>
    <s v="11.86B"/>
    <n v="0.14230000000000001"/>
    <n v="-2.3703703703703723E-2"/>
  </r>
  <r>
    <x v="5"/>
    <x v="182"/>
    <n v="6.59"/>
    <n v="6.92"/>
    <n v="7.12"/>
    <n v="4.5199999999999996"/>
    <s v="15.78B"/>
    <n v="-2.4E-2"/>
    <n v="0.10925644916540209"/>
  </r>
  <r>
    <x v="5"/>
    <x v="183"/>
    <n v="7.31"/>
    <n v="6.39"/>
    <n v="7.61"/>
    <n v="5.96"/>
    <s v="11.28B"/>
    <n v="0.10879999999999999"/>
    <n v="0.21477428180574573"/>
  </r>
  <r>
    <x v="5"/>
    <x v="184"/>
    <n v="8.8800000000000008"/>
    <n v="7.11"/>
    <n v="9.18"/>
    <n v="7.02"/>
    <s v="12.55B"/>
    <n v="0.2147"/>
    <n v="6.9819819819819731E-2"/>
  </r>
  <r>
    <x v="5"/>
    <x v="185"/>
    <n v="9.5"/>
    <n v="8.83"/>
    <n v="9.64"/>
    <n v="8.66"/>
    <s v="9.72B"/>
    <n v="7.0099999999999996E-2"/>
    <n v="0.11684210526315783"/>
  </r>
  <r>
    <x v="5"/>
    <x v="186"/>
    <n v="10.61"/>
    <n v="9.52"/>
    <n v="10.79"/>
    <n v="9.41"/>
    <s v="8.10B"/>
    <n v="0.1176"/>
    <n v="0.26013195098963243"/>
  </r>
  <r>
    <x v="5"/>
    <x v="187"/>
    <n v="13.37"/>
    <n v="10.73"/>
    <n v="13.57"/>
    <n v="10.72"/>
    <s v="9.67B"/>
    <n v="0.26"/>
    <n v="1.1967090501121927E-2"/>
  </r>
  <r>
    <x v="5"/>
    <x v="188"/>
    <n v="13.53"/>
    <n v="13.48"/>
    <n v="14.73"/>
    <n v="11.7"/>
    <s v="15.86B"/>
    <n v="1.17E-2"/>
    <n v="-7.3909830007390986E-2"/>
  </r>
  <r>
    <x v="5"/>
    <x v="189"/>
    <n v="12.53"/>
    <n v="13.76"/>
    <n v="14.35"/>
    <n v="12.3"/>
    <s v="8.02B"/>
    <n v="-7.3599999999999999E-2"/>
    <n v="6.9433359936153322E-2"/>
  </r>
  <r>
    <x v="5"/>
    <x v="190"/>
    <n v="13.4"/>
    <n v="12.66"/>
    <n v="14.69"/>
    <n v="12.4"/>
    <s v="7.60B"/>
    <n v="6.9199999999999998E-2"/>
    <n v="-2.5373134328358197E-2"/>
  </r>
  <r>
    <x v="5"/>
    <x v="191"/>
    <n v="13.06"/>
    <n v="13.49"/>
    <n v="13.73"/>
    <n v="12.76"/>
    <s v="5.12B"/>
    <n v="-2.5899999999999999E-2"/>
    <n v="-5.3598774885145698E-3"/>
  </r>
  <r>
    <x v="5"/>
    <x v="192"/>
    <n v="12.99"/>
    <n v="13.1"/>
    <n v="14"/>
    <n v="12.59"/>
    <s v="6.16B"/>
    <n v="-5.0000000000000001E-3"/>
    <n v="5.5427251732101668E-2"/>
  </r>
  <r>
    <x v="5"/>
    <x v="193"/>
    <n v="13.71"/>
    <n v="13.05"/>
    <n v="15.37"/>
    <n v="12.9"/>
    <s v="6.68B"/>
    <n v="5.5800000000000002E-2"/>
    <n v="-2.6258205689277985E-2"/>
  </r>
  <r>
    <x v="5"/>
    <x v="194"/>
    <n v="13.35"/>
    <n v="13.88"/>
    <n v="13.93"/>
    <n v="11.57"/>
    <s v="7.65B"/>
    <n v="-2.6700000000000002E-2"/>
    <n v="0.12434456928838952"/>
  </r>
  <r>
    <x v="5"/>
    <x v="195"/>
    <n v="15.01"/>
    <n v="13.57"/>
    <n v="16.21"/>
    <n v="13.51"/>
    <s v="6.72B"/>
    <n v="0.1245"/>
    <n v="8.1945369753497574E-2"/>
  </r>
  <r>
    <x v="5"/>
    <x v="196"/>
    <n v="16.239999999999998"/>
    <n v="15.13"/>
    <n v="16.28"/>
    <n v="13.46"/>
    <s v="7.05B"/>
    <n v="8.2299999999999998E-2"/>
    <n v="0.23152709359605922"/>
  </r>
  <r>
    <x v="5"/>
    <x v="197"/>
    <n v="20"/>
    <n v="16.27"/>
    <n v="20.16"/>
    <n v="15.9"/>
    <s v="10.27B"/>
    <n v="0.23130000000000001"/>
    <n v="-2.5000000000000001E-2"/>
  </r>
  <r>
    <x v="5"/>
    <x v="198"/>
    <n v="19.5"/>
    <n v="20.13"/>
    <n v="20.88"/>
    <n v="17.87"/>
    <s v="7.82B"/>
    <n v="-2.52E-2"/>
    <n v="0.14820512820512824"/>
  </r>
  <r>
    <x v="5"/>
    <x v="199"/>
    <n v="22.39"/>
    <n v="19.7"/>
    <n v="23.04"/>
    <n v="18.760000000000002"/>
    <s v="6.42B"/>
    <n v="0.14799999999999999"/>
    <n v="-7.4586869138008119E-2"/>
  </r>
  <r>
    <x v="5"/>
    <x v="200"/>
    <n v="20.72"/>
    <n v="22.49"/>
    <n v="22.99"/>
    <n v="20.47"/>
    <s v="5.00B"/>
    <n v="-7.46E-2"/>
    <n v="0.23407335907335916"/>
  </r>
  <r>
    <x v="5"/>
    <x v="201"/>
    <n v="25.57"/>
    <n v="20.75"/>
    <n v="25.71"/>
    <n v="19.559999999999999"/>
    <s v="4.97B"/>
    <n v="0.23419999999999999"/>
    <n v="0.27806022682831438"/>
  </r>
  <r>
    <x v="5"/>
    <x v="202"/>
    <n v="32.68"/>
    <n v="25.65"/>
    <n v="34.65"/>
    <n v="25.23"/>
    <s v="10.81B"/>
    <n v="0.27810000000000001"/>
    <n v="-0.1000611995104039"/>
  </r>
  <r>
    <x v="5"/>
    <x v="203"/>
    <n v="29.41"/>
    <n v="33.22"/>
    <n v="33.29"/>
    <n v="27.15"/>
    <s v="11.06B"/>
    <n v="-9.9900000000000003E-2"/>
    <n v="-0.16729003740224418"/>
  </r>
  <r>
    <x v="5"/>
    <x v="204"/>
    <n v="24.49"/>
    <n v="29.82"/>
    <n v="30.71"/>
    <n v="20.89"/>
    <s v="10.68B"/>
    <n v="-0.16750000000000001"/>
    <n v="-4.0832993058390315E-3"/>
  </r>
  <r>
    <x v="5"/>
    <x v="205"/>
    <n v="24.39"/>
    <n v="25.1"/>
    <n v="26.92"/>
    <n v="20.89"/>
    <s v="10.65B"/>
    <n v="-4.1000000000000003E-3"/>
    <n v="0.11890118901189006"/>
  </r>
  <r>
    <x v="5"/>
    <x v="206"/>
    <n v="27.29"/>
    <n v="24.29"/>
    <n v="28.95"/>
    <n v="20.65"/>
    <s v="11.65B"/>
    <n v="0.11899999999999999"/>
    <n v="-0.32026383290582627"/>
  </r>
  <r>
    <x v="5"/>
    <x v="207"/>
    <n v="18.55"/>
    <n v="27.38"/>
    <n v="27.56"/>
    <n v="18.29"/>
    <s v="11.11B"/>
    <n v="-0.32029999999999997"/>
    <n v="6.4690026954178428E-3"/>
  </r>
  <r>
    <x v="5"/>
    <x v="208"/>
    <n v="18.670000000000002"/>
    <n v="18.54"/>
    <n v="20.399999999999999"/>
    <n v="15.57"/>
    <s v="13.83B"/>
    <n v="6.7000000000000002E-3"/>
    <n v="-0.18800214247455818"/>
  </r>
  <r>
    <x v="5"/>
    <x v="209"/>
    <n v="15.16"/>
    <n v="18.72"/>
    <n v="19.62"/>
    <n v="14.86"/>
    <s v="10.56B"/>
    <n v="-0.18809999999999999"/>
    <n v="0.19788918205804748"/>
  </r>
  <r>
    <x v="5"/>
    <x v="210"/>
    <n v="18.16"/>
    <n v="14.9"/>
    <n v="18.239999999999998"/>
    <n v="14.06"/>
    <s v="10.57B"/>
    <n v="0.19819999999999999"/>
    <n v="-0.16905286343612336"/>
  </r>
  <r>
    <x v="5"/>
    <x v="211"/>
    <n v="15.09"/>
    <n v="18.18"/>
    <n v="19.27"/>
    <n v="14.96"/>
    <s v="12.07B"/>
    <n v="-0.16900000000000001"/>
    <n v="-0.19549370444002645"/>
  </r>
  <r>
    <x v="5"/>
    <x v="212"/>
    <n v="12.14"/>
    <n v="14.21"/>
    <n v="14.55"/>
    <n v="11.95"/>
    <s v="13.13B"/>
    <n v="-0.1958"/>
    <n v="0.11202635914332779"/>
  </r>
  <r>
    <x v="5"/>
    <x v="213"/>
    <n v="13.5"/>
    <n v="12.35"/>
    <n v="13.85"/>
    <n v="10.81"/>
    <s v="12.55B"/>
    <n v="0.1119"/>
    <n v="0.25333333333333347"/>
  </r>
  <r>
    <x v="5"/>
    <x v="214"/>
    <n v="16.920000000000002"/>
    <n v="13.81"/>
    <n v="17"/>
    <n v="12.96"/>
    <s v="10.60B"/>
    <n v="0.25380000000000003"/>
    <n v="-0.13652482269503557"/>
  </r>
  <r>
    <x v="5"/>
    <x v="215"/>
    <n v="14.61"/>
    <n v="17"/>
    <n v="18.79"/>
    <n v="13.88"/>
    <s v="8.95B"/>
    <n v="-0.13639999999999999"/>
    <n v="0.33744010951403147"/>
  </r>
  <r>
    <x v="5"/>
    <x v="216"/>
    <n v="19.54"/>
    <n v="14.85"/>
    <n v="20.63"/>
    <n v="14.03"/>
    <s v="9.45B"/>
    <n v="0.33689999999999998"/>
    <n v="0.18833162743091095"/>
  </r>
  <r>
    <x v="5"/>
    <x v="217"/>
    <n v="23.22"/>
    <n v="19.690000000000001"/>
    <n v="23.89"/>
    <n v="19.61"/>
    <s v="10.39B"/>
    <n v="0.1883"/>
    <n v="0.19638242894056859"/>
  </r>
  <r>
    <x v="5"/>
    <x v="218"/>
    <n v="27.78"/>
    <n v="23.19"/>
    <n v="27.83"/>
    <n v="22.3"/>
    <s v="11.27B"/>
    <n v="0.19650000000000001"/>
    <n v="-1.0799136069114879E-3"/>
  </r>
  <r>
    <x v="5"/>
    <x v="219"/>
    <n v="27.75"/>
    <n v="27.51"/>
    <n v="28.11"/>
    <n v="26.22"/>
    <s v="7.44B"/>
    <n v="-1E-3"/>
    <n v="0.3632432432432432"/>
  </r>
  <r>
    <x v="5"/>
    <x v="220"/>
    <n v="37.83"/>
    <n v="27.84"/>
    <n v="41.94"/>
    <n v="27.24"/>
    <s v="11.70B"/>
    <n v="0.3634"/>
    <n v="0.11816019032513875"/>
  </r>
  <r>
    <x v="5"/>
    <x v="221"/>
    <n v="42.3"/>
    <n v="38.49"/>
    <n v="43.99"/>
    <n v="37.36"/>
    <s v="10.53B"/>
    <n v="0.1181"/>
    <n v="0.10472813238770685"/>
  </r>
  <r>
    <x v="5"/>
    <x v="222"/>
    <n v="46.73"/>
    <n v="42.52"/>
    <n v="48.09"/>
    <n v="41.35"/>
    <s v="8.71B"/>
    <n v="0.1047"/>
    <n v="5.6066766531136417E-2"/>
  </r>
  <r>
    <x v="5"/>
    <x v="223"/>
    <n v="49.35"/>
    <n v="46.46"/>
    <n v="50.27"/>
    <n v="40.31"/>
    <s v="13.64B"/>
    <n v="5.62E-2"/>
    <n v="-0.11854103343465049"/>
  </r>
  <r>
    <x v="5"/>
    <x v="224"/>
    <n v="43.5"/>
    <n v="49.76"/>
    <n v="49.8"/>
    <n v="40.98"/>
    <s v="8.58B"/>
    <n v="-0.1187"/>
    <n v="-6.2528735632183877E-2"/>
  </r>
  <r>
    <x v="5"/>
    <x v="225"/>
    <n v="40.78"/>
    <n v="44.03"/>
    <n v="47.61"/>
    <n v="39.229999999999997"/>
    <s v="10.14B"/>
    <n v="-6.25E-2"/>
    <n v="0.14688572829818544"/>
  </r>
  <r>
    <x v="5"/>
    <x v="226"/>
    <n v="46.77"/>
    <n v="40.880000000000003"/>
    <n v="50.55"/>
    <n v="40.869999999999997"/>
    <s v="9.15B"/>
    <n v="0.1469"/>
    <n v="5.8798375026726531E-2"/>
  </r>
  <r>
    <x v="5"/>
    <x v="227"/>
    <n v="49.52"/>
    <n v="46.53"/>
    <n v="50.43"/>
    <n v="45.01"/>
    <s v="7.41B"/>
    <n v="5.8799999999999998E-2"/>
    <n v="0.24252827140549268"/>
  </r>
  <r>
    <x v="5"/>
    <x v="228"/>
    <n v="61.53"/>
    <n v="49.24"/>
    <n v="63.49"/>
    <n v="47.32"/>
    <s v="9.71B"/>
    <n v="0.2424"/>
    <n v="0.2857142857142857"/>
  </r>
  <r>
    <x v="5"/>
    <x v="229"/>
    <n v="79.11"/>
    <n v="62.1"/>
    <n v="82.39"/>
    <n v="61.65"/>
    <s v="11.08B"/>
    <n v="0.2858"/>
    <n v="0.1422070534698521"/>
  </r>
  <r>
    <x v="5"/>
    <x v="230"/>
    <n v="90.36"/>
    <n v="80"/>
    <n v="97.4"/>
    <n v="79.44"/>
    <s v="12.15B"/>
    <n v="0.1421"/>
    <n v="-4.3824701195219057E-2"/>
  </r>
  <r>
    <x v="5"/>
    <x v="231"/>
    <n v="86.4"/>
    <n v="90.3"/>
    <n v="92.22"/>
    <n v="75.61"/>
    <s v="10.07B"/>
    <n v="-4.3799999999999999E-2"/>
    <n v="0.2688657407407406"/>
  </r>
  <r>
    <x v="5"/>
    <x v="232"/>
    <n v="109.63"/>
    <n v="85.08"/>
    <n v="115.82"/>
    <n v="81.25"/>
    <s v="9.65B"/>
    <n v="0.26889999999999997"/>
    <n v="0.12688132810362138"/>
  </r>
  <r>
    <x v="5"/>
    <x v="233"/>
    <n v="123.54"/>
    <n v="113.62"/>
    <n v="140.76"/>
    <n v="112"/>
    <s v="7.44B"/>
    <n v="0.12690000000000001"/>
    <n v="-5.2776428687064995E-2"/>
  </r>
  <r>
    <x v="5"/>
    <x v="234"/>
    <n v="117.02"/>
    <n v="123.47"/>
    <n v="136.15"/>
    <n v="102.54"/>
    <s v="6.41B"/>
    <n v="-5.28E-2"/>
    <n v="2.0082037258588349E-2"/>
  </r>
  <r>
    <x v="5"/>
    <x v="235"/>
    <n v="119.37"/>
    <n v="117.53"/>
    <n v="131.26"/>
    <n v="90.69"/>
    <s v="8.11B"/>
    <n v="2.01E-2"/>
    <n v="1.7341040462427688E-2"/>
  </r>
  <r>
    <x v="5"/>
    <x v="236"/>
    <n v="121.44"/>
    <n v="116.01"/>
    <n v="127.67"/>
    <n v="100.95"/>
    <s v="6.27B"/>
    <n v="1.7299999999999999E-2"/>
    <n v="9.3214756258234471E-2"/>
  </r>
  <r>
    <x v="5"/>
    <x v="237"/>
    <n v="132.76"/>
    <n v="121.76"/>
    <n v="144.41999999999999"/>
    <n v="115.14"/>
    <s v="5.63B"/>
    <n v="9.3200000000000005E-2"/>
    <n v="4.13528171135885E-2"/>
  </r>
  <r>
    <x v="5"/>
    <x v="238"/>
    <n v="138.25"/>
    <n v="134.69999999999999"/>
    <n v="152.88999999999999"/>
    <n v="131.80000000000001"/>
    <s v="4.50B"/>
    <n v="4.1399999999999999E-2"/>
    <n v="-2.8643761301989208E-2"/>
  </r>
  <r>
    <x v="5"/>
    <x v="239"/>
    <n v="134.29"/>
    <n v="138.83000000000001"/>
    <n v="146.54"/>
    <n v="126.86"/>
    <s v="4.09B"/>
    <n v="-2.86E-2"/>
    <n v="0"/>
  </r>
  <r>
    <x v="6"/>
    <x v="66"/>
    <n v="1.33"/>
    <n v="1.67"/>
    <n v="1.73"/>
    <n v="1"/>
    <s v="969.51M"/>
    <n v="-0.16350000000000001"/>
    <n v="-2.2556390977443629E-2"/>
  </r>
  <r>
    <x v="6"/>
    <x v="67"/>
    <n v="1.3"/>
    <n v="1.37"/>
    <n v="1.48"/>
    <n v="1.1599999999999999"/>
    <s v="225.76M"/>
    <n v="-2.2599999999999999E-2"/>
    <n v="4.6153846153846191E-2"/>
  </r>
  <r>
    <x v="6"/>
    <x v="68"/>
    <n v="1.36"/>
    <n v="1.31"/>
    <n v="1.54"/>
    <n v="1.3"/>
    <s v="270.73M"/>
    <n v="4.6199999999999998E-2"/>
    <n v="7.3529411764705774E-2"/>
  </r>
  <r>
    <x v="6"/>
    <x v="69"/>
    <n v="1.46"/>
    <n v="1.38"/>
    <n v="1.46"/>
    <n v="1.33"/>
    <s v="98.29M"/>
    <n v="7.3499999999999996E-2"/>
    <n v="0.61643835616438347"/>
  </r>
  <r>
    <x v="6"/>
    <x v="70"/>
    <n v="2.36"/>
    <n v="1.46"/>
    <n v="2.4"/>
    <n v="1.4"/>
    <s v="424.84M"/>
    <n v="0.61639999999999995"/>
    <n v="-0.24576271186440674"/>
  </r>
  <r>
    <x v="6"/>
    <x v="71"/>
    <n v="1.78"/>
    <n v="2.39"/>
    <n v="2.4300000000000002"/>
    <n v="1.67"/>
    <s v="553.52M"/>
    <n v="-0.24579999999999999"/>
    <n v="-9.5505617977528046E-2"/>
  </r>
  <r>
    <x v="6"/>
    <x v="72"/>
    <n v="1.61"/>
    <n v="1.79"/>
    <n v="1.91"/>
    <n v="1.49"/>
    <s v="426.45M"/>
    <n v="-9.5500000000000002E-2"/>
    <n v="-1.2422360248447215E-2"/>
  </r>
  <r>
    <x v="6"/>
    <x v="73"/>
    <n v="1.59"/>
    <n v="1.62"/>
    <n v="1.7"/>
    <n v="1.41"/>
    <s v="439.76M"/>
    <n v="-1.24E-2"/>
    <n v="0.16352201257861634"/>
  </r>
  <r>
    <x v="6"/>
    <x v="74"/>
    <n v="1.85"/>
    <n v="1.6"/>
    <n v="1.91"/>
    <n v="1.45"/>
    <s v="488.52M"/>
    <n v="0.16350000000000001"/>
    <n v="-5.40540540540541E-3"/>
  </r>
  <r>
    <x v="6"/>
    <x v="75"/>
    <n v="1.84"/>
    <n v="1.83"/>
    <n v="1.88"/>
    <n v="1.61"/>
    <s v="448.75M"/>
    <n v="-5.4000000000000003E-3"/>
    <n v="9.2391304347825928E-2"/>
  </r>
  <r>
    <x v="6"/>
    <x v="76"/>
    <n v="2.0099999999999998"/>
    <n v="1.84"/>
    <n v="2.02"/>
    <n v="1.7"/>
    <s v="455.30M"/>
    <n v="9.2399999999999996E-2"/>
    <n v="-3.4825870646766094E-2"/>
  </r>
  <r>
    <x v="6"/>
    <x v="77"/>
    <n v="1.94"/>
    <n v="2"/>
    <n v="2.1"/>
    <n v="1.7"/>
    <s v="596.01M"/>
    <n v="-3.4799999999999998E-2"/>
    <n v="-3.0927835051546421E-2"/>
  </r>
  <r>
    <x v="6"/>
    <x v="78"/>
    <n v="1.88"/>
    <n v="1.94"/>
    <n v="2.0299999999999998"/>
    <n v="1.78"/>
    <s v="316.58M"/>
    <n v="-3.09E-2"/>
    <n v="-0.12234042553191489"/>
  </r>
  <r>
    <x v="6"/>
    <x v="79"/>
    <n v="1.65"/>
    <n v="1.91"/>
    <n v="1.95"/>
    <n v="1.43"/>
    <s v="408.36M"/>
    <n v="-0.12230000000000001"/>
    <n v="-1.2121212121212133E-2"/>
  </r>
  <r>
    <x v="6"/>
    <x v="80"/>
    <n v="1.63"/>
    <n v="1.64"/>
    <n v="1.8"/>
    <n v="1.49"/>
    <s v="270.33M"/>
    <n v="-1.21E-2"/>
    <n v="0.2024539877300614"/>
  </r>
  <r>
    <x v="6"/>
    <x v="81"/>
    <n v="1.96"/>
    <n v="1.66"/>
    <n v="2"/>
    <n v="1.53"/>
    <s v="324.95M"/>
    <n v="0.20250000000000001"/>
    <n v="0.11224489795918377"/>
  </r>
  <r>
    <x v="6"/>
    <x v="82"/>
    <n v="2.1800000000000002"/>
    <n v="1.89"/>
    <n v="2.33"/>
    <n v="1.87"/>
    <s v="387.83M"/>
    <n v="0.11219999999999999"/>
    <n v="-0.12844036697247718"/>
  </r>
  <r>
    <x v="6"/>
    <x v="83"/>
    <n v="1.9"/>
    <n v="2.17"/>
    <n v="2.33"/>
    <n v="1.74"/>
    <s v="316.94M"/>
    <n v="-0.12839999999999999"/>
    <n v="2.1052631578947389E-2"/>
  </r>
  <r>
    <x v="6"/>
    <x v="84"/>
    <n v="1.94"/>
    <n v="1.93"/>
    <n v="2"/>
    <n v="1.51"/>
    <s v="384.24M"/>
    <n v="2.1100000000000001E-2"/>
    <n v="0.14948453608247425"/>
  </r>
  <r>
    <x v="6"/>
    <x v="85"/>
    <n v="2.23"/>
    <n v="1.94"/>
    <n v="2.33"/>
    <n v="1.93"/>
    <s v="347.96M"/>
    <n v="0.14949999999999999"/>
    <n v="0.11210762331838565"/>
  </r>
  <r>
    <x v="6"/>
    <x v="86"/>
    <n v="2.48"/>
    <n v="2.23"/>
    <n v="2.66"/>
    <n v="2.17"/>
    <s v="332.48M"/>
    <n v="0.11210000000000001"/>
    <n v="-0.1088709677419355"/>
  </r>
  <r>
    <x v="6"/>
    <x v="87"/>
    <n v="2.21"/>
    <n v="2.4900000000000002"/>
    <n v="2.56"/>
    <n v="2.0699999999999998"/>
    <s v="341.43M"/>
    <n v="-0.1089"/>
    <n v="-0.10859728506787331"/>
  </r>
  <r>
    <x v="6"/>
    <x v="88"/>
    <n v="1.97"/>
    <n v="2.21"/>
    <n v="2.31"/>
    <n v="1.79"/>
    <s v="512.78M"/>
    <n v="-0.1086"/>
    <n v="6.0913705583756285E-2"/>
  </r>
  <r>
    <x v="6"/>
    <x v="89"/>
    <n v="2.09"/>
    <n v="1.9"/>
    <n v="2.2999999999999998"/>
    <n v="1.81"/>
    <s v="391.99M"/>
    <n v="6.0900000000000003E-2"/>
    <n v="-0.12440191387559799"/>
  </r>
  <r>
    <x v="6"/>
    <x v="90"/>
    <n v="1.83"/>
    <n v="2.09"/>
    <n v="2.4"/>
    <n v="1.81"/>
    <s v="488.21M"/>
    <n v="-0.1244"/>
    <n v="3.825136612021849E-2"/>
  </r>
  <r>
    <x v="6"/>
    <x v="91"/>
    <n v="1.9"/>
    <n v="1.87"/>
    <n v="2.09"/>
    <n v="1.7"/>
    <s v="367.23M"/>
    <n v="3.8300000000000001E-2"/>
    <n v="2.6315789473684237E-2"/>
  </r>
  <r>
    <x v="6"/>
    <x v="92"/>
    <n v="1.95"/>
    <n v="1.9"/>
    <n v="2.19"/>
    <n v="1.82"/>
    <s v="499.54M"/>
    <n v="2.63E-2"/>
    <n v="-3.5897435897435929E-2"/>
  </r>
  <r>
    <x v="6"/>
    <x v="93"/>
    <n v="1.88"/>
    <n v="1.97"/>
    <n v="2.0099999999999998"/>
    <n v="1.79"/>
    <s v="264.39M"/>
    <n v="-3.5900000000000001E-2"/>
    <n v="0.19680851063829793"/>
  </r>
  <r>
    <x v="6"/>
    <x v="94"/>
    <n v="2.25"/>
    <n v="1.88"/>
    <n v="2.29"/>
    <n v="1.88"/>
    <s v="356.46M"/>
    <n v="0.1968"/>
    <n v="4.4444444444443499E-3"/>
  </r>
  <r>
    <x v="6"/>
    <x v="95"/>
    <n v="2.2599999999999998"/>
    <n v="2.2599999999999998"/>
    <n v="2.39"/>
    <n v="2.1800000000000002"/>
    <s v="325.74M"/>
    <n v="4.4000000000000003E-3"/>
    <n v="0.10619469026548684"/>
  </r>
  <r>
    <x v="6"/>
    <x v="96"/>
    <n v="2.5"/>
    <n v="2.33"/>
    <n v="2.58"/>
    <n v="2.14"/>
    <s v="426.96M"/>
    <n v="0.1062"/>
    <n v="-7.2000000000000064E-2"/>
  </r>
  <r>
    <x v="6"/>
    <x v="97"/>
    <n v="2.3199999999999998"/>
    <n v="2.54"/>
    <n v="2.67"/>
    <n v="2.25"/>
    <s v="663.90M"/>
    <n v="-7.1999999999999995E-2"/>
    <n v="9.0517241379310331E-2"/>
  </r>
  <r>
    <x v="6"/>
    <x v="98"/>
    <n v="2.5299999999999998"/>
    <n v="2.33"/>
    <n v="2.63"/>
    <n v="2.2799999999999998"/>
    <s v="444.99M"/>
    <n v="9.0499999999999997E-2"/>
    <n v="0.42292490118577092"/>
  </r>
  <r>
    <x v="6"/>
    <x v="99"/>
    <n v="3.6"/>
    <n v="2.82"/>
    <n v="3.88"/>
    <n v="2.68"/>
    <s v="1.22B"/>
    <n v="0.4229"/>
    <n v="0.81111111111111089"/>
  </r>
  <r>
    <x v="6"/>
    <x v="100"/>
    <n v="6.52"/>
    <n v="3.73"/>
    <n v="7.66"/>
    <n v="3.53"/>
    <s v="4.97B"/>
    <n v="0.81110000000000004"/>
    <n v="9.8159509202454087E-2"/>
  </r>
  <r>
    <x v="6"/>
    <x v="101"/>
    <n v="7.16"/>
    <n v="6.51"/>
    <n v="7.35"/>
    <n v="5.88"/>
    <s v="2.69B"/>
    <n v="9.8199999999999996E-2"/>
    <n v="0.24999999999999989"/>
  </r>
  <r>
    <x v="6"/>
    <x v="102"/>
    <n v="8.9499999999999993"/>
    <n v="7.29"/>
    <n v="9.17"/>
    <n v="6.97"/>
    <s v="3.44B"/>
    <n v="0.25"/>
    <n v="0.25921787709497213"/>
  </r>
  <r>
    <x v="6"/>
    <x v="103"/>
    <n v="11.27"/>
    <n v="9"/>
    <n v="11.53"/>
    <n v="8.82"/>
    <s v="3.89B"/>
    <n v="0.25919999999999999"/>
    <n v="0.14374445430346061"/>
  </r>
  <r>
    <x v="6"/>
    <x v="104"/>
    <n v="12.89"/>
    <n v="11.56"/>
    <n v="12.97"/>
    <n v="10.57"/>
    <s v="2.57B"/>
    <n v="0.14369999999999999"/>
    <n v="-0.17300232738557023"/>
  </r>
  <r>
    <x v="6"/>
    <x v="105"/>
    <n v="10.66"/>
    <n v="12.93"/>
    <n v="12.95"/>
    <n v="10.199999999999999"/>
    <s v="3.88B"/>
    <n v="-0.17299999999999999"/>
    <n v="-0.20356472795497185"/>
  </r>
  <r>
    <x v="6"/>
    <x v="106"/>
    <n v="8.49"/>
    <n v="10.87"/>
    <n v="12.1"/>
    <n v="7.74"/>
    <s v="4.63B"/>
    <n v="-0.2036"/>
    <n v="0.18138987043580673"/>
  </r>
  <r>
    <x v="6"/>
    <x v="107"/>
    <n v="10.029999999999999"/>
    <n v="8.42"/>
    <n v="10.53"/>
    <n v="8.26"/>
    <s v="2.97B"/>
    <n v="0.18140000000000001"/>
    <n v="0.20538384845463614"/>
  </r>
  <r>
    <x v="6"/>
    <x v="108"/>
    <n v="12.09"/>
    <n v="9.99"/>
    <n v="12.4"/>
    <n v="9.11"/>
    <s v="2.77B"/>
    <n v="0.2054"/>
    <n v="0.34987593052109184"/>
  </r>
  <r>
    <x v="6"/>
    <x v="109"/>
    <n v="16.32"/>
    <n v="12.19"/>
    <n v="17.670000000000002"/>
    <n v="11.29"/>
    <s v="3.40B"/>
    <n v="0.34989999999999999"/>
    <n v="-0.1482843137254902"/>
  </r>
  <r>
    <x v="6"/>
    <x v="110"/>
    <n v="13.9"/>
    <n v="15.82"/>
    <n v="17.329999999999998"/>
    <n v="13.53"/>
    <s v="2.50B"/>
    <n v="-0.14829999999999999"/>
    <n v="-2.8776978417266851E-3"/>
  </r>
  <r>
    <x v="6"/>
    <x v="111"/>
    <n v="13.86"/>
    <n v="13.93"/>
    <n v="15.72"/>
    <n v="12.29"/>
    <s v="2.48B"/>
    <n v="-2.8999999999999998E-3"/>
    <n v="-7.215007215007061E-4"/>
  </r>
  <r>
    <x v="6"/>
    <x v="112"/>
    <n v="13.85"/>
    <n v="13.81"/>
    <n v="14.58"/>
    <n v="11.81"/>
    <s v="2.02B"/>
    <n v="-5.9999999999999995E-4"/>
    <n v="0.15523465703971123"/>
  </r>
  <r>
    <x v="6"/>
    <x v="113"/>
    <n v="16"/>
    <n v="13.82"/>
    <n v="16.3"/>
    <n v="13.28"/>
    <s v="1.85B"/>
    <n v="0.15540000000000001"/>
    <n v="-6.9374999999999964E-2"/>
  </r>
  <r>
    <x v="6"/>
    <x v="114"/>
    <n v="14.89"/>
    <n v="16.16"/>
    <n v="16.23"/>
    <n v="14.24"/>
    <s v="1.62B"/>
    <n v="-6.9800000000000001E-2"/>
    <n v="0.20752182672934855"/>
  </r>
  <r>
    <x v="6"/>
    <x v="115"/>
    <n v="17.98"/>
    <n v="15.07"/>
    <n v="18.13"/>
    <n v="15.07"/>
    <s v="1.72B"/>
    <n v="0.20780000000000001"/>
    <n v="-0.10011123470522806"/>
  </r>
  <r>
    <x v="6"/>
    <x v="116"/>
    <n v="16.18"/>
    <n v="18.37"/>
    <n v="19.43"/>
    <n v="16.010000000000002"/>
    <s v="1.99B"/>
    <n v="-0.1002"/>
    <n v="-4.3263288009888932E-3"/>
  </r>
  <r>
    <x v="6"/>
    <x v="117"/>
    <n v="16.11"/>
    <n v="16.149999999999999"/>
    <n v="17.7"/>
    <n v="14.49"/>
    <s v="2.28B"/>
    <n v="-4.0000000000000001E-3"/>
    <n v="1.1793916821849862E-2"/>
  </r>
  <r>
    <x v="6"/>
    <x v="118"/>
    <n v="16.3"/>
    <n v="16.2"/>
    <n v="17.329999999999998"/>
    <n v="15.23"/>
    <s v="1.62B"/>
    <n v="1.17E-2"/>
    <n v="-9.0184049079754636E-2"/>
  </r>
  <r>
    <x v="6"/>
    <x v="119"/>
    <n v="14.83"/>
    <n v="16.079999999999998"/>
    <n v="16.16"/>
    <n v="12.84"/>
    <s v="1.91B"/>
    <n v="-9.0399999999999994E-2"/>
    <n v="-8.4962913014160465E-2"/>
  </r>
  <r>
    <x v="6"/>
    <x v="120"/>
    <n v="13.57"/>
    <n v="14.86"/>
    <n v="14.88"/>
    <n v="12.33"/>
    <s v="1.35B"/>
    <n v="-8.4599999999999995E-2"/>
    <n v="-7.3691967575532696E-4"/>
  </r>
  <r>
    <x v="6"/>
    <x v="121"/>
    <n v="13.56"/>
    <n v="13.6"/>
    <n v="15.03"/>
    <n v="12.89"/>
    <s v="1.60B"/>
    <n v="-1.2999999999999999E-3"/>
    <n v="-7.22713864306785E-2"/>
  </r>
  <r>
    <x v="6"/>
    <x v="122"/>
    <n v="12.58"/>
    <n v="13.51"/>
    <n v="13.75"/>
    <n v="12.09"/>
    <s v="1.84B"/>
    <n v="-7.17E-2"/>
    <n v="0.19793322734499208"/>
  </r>
  <r>
    <x v="6"/>
    <x v="123"/>
    <n v="15.07"/>
    <n v="12.58"/>
    <n v="15.92"/>
    <n v="12.4"/>
    <s v="1.48B"/>
    <n v="0.19750000000000001"/>
    <n v="0.10948905109489042"/>
  </r>
  <r>
    <x v="6"/>
    <x v="124"/>
    <n v="16.72"/>
    <n v="15.33"/>
    <n v="16.86"/>
    <n v="14.68"/>
    <s v="1.34B"/>
    <n v="0.1095"/>
    <n v="6.9377990430622025E-2"/>
  </r>
  <r>
    <x v="6"/>
    <x v="125"/>
    <n v="17.88"/>
    <n v="16.760000000000002"/>
    <n v="18.09"/>
    <n v="16.38"/>
    <s v="982.10M"/>
    <n v="6.9599999999999995E-2"/>
    <n v="-7.8299776286353782E-3"/>
  </r>
  <r>
    <x v="6"/>
    <x v="126"/>
    <n v="17.739999999999998"/>
    <n v="18.07"/>
    <n v="19.11"/>
    <n v="16.72"/>
    <s v="1.20B"/>
    <n v="-7.9000000000000008E-3"/>
    <n v="-6.4261555806087778E-2"/>
  </r>
  <r>
    <x v="6"/>
    <x v="127"/>
    <n v="16.600000000000001"/>
    <n v="17.75"/>
    <n v="18.07"/>
    <n v="13"/>
    <s v="1.73B"/>
    <n v="-6.4199999999999993E-2"/>
    <n v="-2.4096385542170299E-3"/>
  </r>
  <r>
    <x v="6"/>
    <x v="128"/>
    <n v="16.559999999999999"/>
    <n v="16.02"/>
    <n v="18.100000000000001"/>
    <n v="15.8"/>
    <s v="1.20B"/>
    <n v="-2.7000000000000001E-3"/>
    <n v="-0.16666666666666655"/>
  </r>
  <r>
    <x v="6"/>
    <x v="129"/>
    <n v="13.8"/>
    <n v="16.5"/>
    <n v="16.66"/>
    <n v="13.47"/>
    <s v="1.51B"/>
    <n v="-0.16700000000000001"/>
    <n v="0.11231884057971006"/>
  </r>
  <r>
    <x v="6"/>
    <x v="130"/>
    <n v="15.35"/>
    <n v="13.93"/>
    <n v="15.64"/>
    <n v="13.72"/>
    <s v="1.18B"/>
    <n v="0.11269999999999999"/>
    <n v="4.2345276872964195E-2"/>
  </r>
  <r>
    <x v="6"/>
    <x v="131"/>
    <n v="16"/>
    <n v="15.4"/>
    <n v="16.239999999999998"/>
    <n v="14.32"/>
    <s v="897.78M"/>
    <n v="4.2299999999999997E-2"/>
    <n v="-0.203125"/>
  </r>
  <r>
    <x v="6"/>
    <x v="132"/>
    <n v="12.75"/>
    <n v="15.38"/>
    <n v="15.43"/>
    <n v="12.16"/>
    <s v="1.19B"/>
    <n v="-0.2034"/>
    <n v="3.9215686274510358E-3"/>
  </r>
  <r>
    <x v="6"/>
    <x v="133"/>
    <n v="12.8"/>
    <n v="12.58"/>
    <n v="13.3"/>
    <n v="9.4"/>
    <s v="2.01B"/>
    <n v="3.8E-3"/>
    <n v="0.19687499999999997"/>
  </r>
  <r>
    <x v="6"/>
    <x v="134"/>
    <n v="15.32"/>
    <n v="12.95"/>
    <n v="15.99"/>
    <n v="12.1"/>
    <s v="1.54B"/>
    <n v="0.19719999999999999"/>
    <n v="4.7650130548302902E-2"/>
  </r>
  <r>
    <x v="6"/>
    <x v="135"/>
    <n v="16.05"/>
    <n v="16.32"/>
    <n v="17.96"/>
    <n v="15.55"/>
    <s v="2.03B"/>
    <n v="4.7800000000000002E-2"/>
    <n v="-7.2897196261682229E-2"/>
  </r>
  <r>
    <x v="6"/>
    <x v="136"/>
    <n v="14.88"/>
    <n v="16.100000000000001"/>
    <n v="16.21"/>
    <n v="13.58"/>
    <s v="1.55B"/>
    <n v="-7.2800000000000004E-2"/>
    <n v="-4.9059139784946262E-2"/>
  </r>
  <r>
    <x v="6"/>
    <x v="137"/>
    <n v="14.15"/>
    <n v="14.77"/>
    <n v="16.059999999999999"/>
    <n v="12.52"/>
    <s v="1.83B"/>
    <n v="-4.9099999999999998E-2"/>
    <n v="0.10600706713780919"/>
  </r>
  <r>
    <x v="6"/>
    <x v="138"/>
    <n v="15.65"/>
    <n v="13.74"/>
    <n v="15.69"/>
    <n v="13.73"/>
    <s v="1.11B"/>
    <n v="0.106"/>
    <n v="-9.7124600638977612E-2"/>
  </r>
  <r>
    <x v="6"/>
    <x v="139"/>
    <n v="14.13"/>
    <n v="15.7"/>
    <n v="15.78"/>
    <n v="13.91"/>
    <s v="934.37M"/>
    <n v="-9.7000000000000003E-2"/>
    <n v="-3.7508846426043956E-2"/>
  </r>
  <r>
    <x v="6"/>
    <x v="140"/>
    <n v="13.6"/>
    <n v="13.93"/>
    <n v="14.07"/>
    <n v="12.9"/>
    <s v="1.06B"/>
    <n v="-3.7600000000000001E-2"/>
    <n v="-3.0882352941176465E-2"/>
  </r>
  <r>
    <x v="6"/>
    <x v="141"/>
    <n v="13.18"/>
    <n v="14.15"/>
    <n v="14.38"/>
    <n v="12.8"/>
    <s v="1.38B"/>
    <n v="-3.09E-2"/>
    <n v="-4.1729893778452119E-2"/>
  </r>
  <r>
    <x v="6"/>
    <x v="142"/>
    <n v="12.63"/>
    <n v="13.2"/>
    <n v="13.29"/>
    <n v="11.88"/>
    <s v="1.48B"/>
    <n v="-4.2099999999999999E-2"/>
    <n v="0.1282660332541567"/>
  </r>
  <r>
    <x v="6"/>
    <x v="143"/>
    <n v="14.25"/>
    <n v="12.55"/>
    <n v="14.92"/>
    <n v="12"/>
    <s v="1.32B"/>
    <n v="0.12820000000000001"/>
    <n v="0.17894736842105269"/>
  </r>
  <r>
    <x v="6"/>
    <x v="144"/>
    <n v="16.8"/>
    <n v="14.32"/>
    <n v="17.23"/>
    <n v="14.06"/>
    <s v="1.51B"/>
    <n v="0.1789"/>
    <n v="-7.7380952380951785E-3"/>
  </r>
  <r>
    <x v="6"/>
    <x v="145"/>
    <n v="16.670000000000002"/>
    <n v="16.87"/>
    <n v="19.16"/>
    <n v="16.13"/>
    <s v="1.79B"/>
    <n v="-7.7000000000000002E-3"/>
    <n v="0.11277744451109771"/>
  </r>
  <r>
    <x v="6"/>
    <x v="146"/>
    <n v="18.55"/>
    <n v="16.95"/>
    <n v="18.8"/>
    <n v="16.190000000000001"/>
    <s v="1.61B"/>
    <n v="0.1132"/>
    <n v="0.12884097035040434"/>
  </r>
  <r>
    <x v="6"/>
    <x v="147"/>
    <n v="20.94"/>
    <n v="19.13"/>
    <n v="20.99"/>
    <n v="18.97"/>
    <s v="1.75B"/>
    <n v="0.1285"/>
    <n v="8.548233046800377E-2"/>
  </r>
  <r>
    <x v="6"/>
    <x v="148"/>
    <n v="22.73"/>
    <n v="20.99"/>
    <n v="22.86"/>
    <n v="19.38"/>
    <s v="2.22B"/>
    <n v="8.5800000000000001E-2"/>
    <n v="6.0712714474263046E-2"/>
  </r>
  <r>
    <x v="6"/>
    <x v="149"/>
    <n v="24.11"/>
    <n v="22.93"/>
    <n v="25.8"/>
    <n v="22.28"/>
    <s v="2.79B"/>
    <n v="6.0400000000000002E-2"/>
    <n v="-0.10576524263790961"/>
  </r>
  <r>
    <x v="6"/>
    <x v="150"/>
    <n v="21.56"/>
    <n v="24.68"/>
    <n v="24.76"/>
    <n v="20.21"/>
    <s v="2.72B"/>
    <n v="-0.1055"/>
    <n v="0.10064935064935074"/>
  </r>
  <r>
    <x v="6"/>
    <x v="151"/>
    <n v="23.73"/>
    <n v="21.53"/>
    <n v="24.67"/>
    <n v="20.75"/>
    <s v="2.05B"/>
    <n v="0.1003"/>
    <n v="-4.1719342604298437E-2"/>
  </r>
  <r>
    <x v="6"/>
    <x v="152"/>
    <n v="22.74"/>
    <n v="23.74"/>
    <n v="25.97"/>
    <n v="22.36"/>
    <s v="1.67B"/>
    <n v="-4.1599999999999998E-2"/>
    <n v="-2.8144239226033291E-2"/>
  </r>
  <r>
    <x v="6"/>
    <x v="153"/>
    <n v="22.1"/>
    <n v="22.83"/>
    <n v="24.2"/>
    <n v="21.11"/>
    <s v="1.85B"/>
    <n v="-2.81E-2"/>
    <n v="-6.8325791855203682E-2"/>
  </r>
  <r>
    <x v="6"/>
    <x v="154"/>
    <n v="20.59"/>
    <n v="22.15"/>
    <n v="22.17"/>
    <n v="19.510000000000002"/>
    <s v="2.23B"/>
    <n v="-6.8400000000000002E-2"/>
    <n v="8.256435162700422E-3"/>
  </r>
  <r>
    <x v="6"/>
    <x v="155"/>
    <n v="20.76"/>
    <n v="20.36"/>
    <n v="23.16"/>
    <n v="20"/>
    <s v="1.65B"/>
    <n v="8.0999999999999996E-3"/>
    <n v="0.13776493256262037"/>
  </r>
  <r>
    <x v="6"/>
    <x v="156"/>
    <n v="23.62"/>
    <n v="20.8"/>
    <n v="24.03"/>
    <n v="20.38"/>
    <s v="1.86B"/>
    <n v="0.13800000000000001"/>
    <n v="-3.1752751905165112E-2"/>
  </r>
  <r>
    <x v="6"/>
    <x v="157"/>
    <n v="22.87"/>
    <n v="23.4"/>
    <n v="24"/>
    <n v="19.649999999999999"/>
    <s v="1.64B"/>
    <n v="-3.1800000000000002E-2"/>
    <n v="-0.22431132487975525"/>
  </r>
  <r>
    <x v="6"/>
    <x v="158"/>
    <n v="17.739999999999998"/>
    <n v="23"/>
    <n v="23.24"/>
    <n v="16.55"/>
    <s v="2.36B"/>
    <n v="-0.22420000000000001"/>
    <n v="0.10428410372040595"/>
  </r>
  <r>
    <x v="6"/>
    <x v="159"/>
    <n v="19.59"/>
    <n v="17.079999999999998"/>
    <n v="20.63"/>
    <n v="16.309999999999999"/>
    <s v="2.86B"/>
    <n v="0.1043"/>
    <n v="-3.113833588565592E-2"/>
  </r>
  <r>
    <x v="6"/>
    <x v="160"/>
    <n v="18.98"/>
    <n v="19.57"/>
    <n v="20.87"/>
    <n v="18.23"/>
    <s v="2.33B"/>
    <n v="-3.1199999999999999E-2"/>
    <n v="0.20442571127502629"/>
  </r>
  <r>
    <x v="6"/>
    <x v="161"/>
    <n v="22.86"/>
    <n v="19.059999999999999"/>
    <n v="24.92"/>
    <n v="18.920000000000002"/>
    <s v="3.20B"/>
    <n v="0.20449999999999999"/>
    <n v="-0.1303587051618548"/>
  </r>
  <r>
    <x v="6"/>
    <x v="162"/>
    <n v="19.88"/>
    <n v="24"/>
    <n v="24.32"/>
    <n v="19.079999999999998"/>
    <s v="2.59B"/>
    <n v="-0.13070000000000001"/>
    <n v="1.1569416498993986E-2"/>
  </r>
  <r>
    <x v="6"/>
    <x v="163"/>
    <n v="20.11"/>
    <n v="19.87"/>
    <n v="25.83"/>
    <n v="19.21"/>
    <s v="4.16B"/>
    <n v="1.18E-2"/>
    <n v="-0.12232720039781209"/>
  </r>
  <r>
    <x v="6"/>
    <x v="164"/>
    <n v="17.649999999999999"/>
    <n v="19.8"/>
    <n v="21"/>
    <n v="16.82"/>
    <s v="2.94B"/>
    <n v="-0.12230000000000001"/>
    <n v="0.27422096317280453"/>
  </r>
  <r>
    <x v="6"/>
    <x v="165"/>
    <n v="22.49"/>
    <n v="20.38"/>
    <n v="23.14"/>
    <n v="16.52"/>
    <s v="4.30B"/>
    <n v="0.27400000000000002"/>
    <n v="3.9128501556247336E-2"/>
  </r>
  <r>
    <x v="6"/>
    <x v="166"/>
    <n v="23.37"/>
    <n v="22.55"/>
    <n v="24.45"/>
    <n v="21.67"/>
    <s v="2.00B"/>
    <n v="3.9E-2"/>
    <n v="-5.049208386820709E-2"/>
  </r>
  <r>
    <x v="6"/>
    <x v="167"/>
    <n v="22.19"/>
    <n v="24"/>
    <n v="25.3"/>
    <n v="19.61"/>
    <s v="2.20B"/>
    <n v="-5.04E-2"/>
    <n v="-7.7512392969806318E-2"/>
  </r>
  <r>
    <x v="6"/>
    <x v="168"/>
    <n v="20.47"/>
    <n v="20.41"/>
    <n v="23.47"/>
    <n v="18.62"/>
    <s v="2.63B"/>
    <n v="-7.7499999999999999E-2"/>
    <n v="4.2012701514411312E-2"/>
  </r>
  <r>
    <x v="6"/>
    <x v="169"/>
    <n v="21.33"/>
    <n v="20.36"/>
    <n v="21.62"/>
    <n v="19.25"/>
    <s v="1.93B"/>
    <n v="4.19E-2"/>
    <n v="-0.12517580872011244"/>
  </r>
  <r>
    <x v="6"/>
    <x v="170"/>
    <n v="18.66"/>
    <n v="20.46"/>
    <n v="20.48"/>
    <n v="16.96"/>
    <s v="3.21B"/>
    <n v="-0.12509999999999999"/>
    <n v="-0.14737406216505894"/>
  </r>
  <r>
    <x v="6"/>
    <x v="171"/>
    <n v="15.91"/>
    <n v="18.84"/>
    <n v="19.739999999999998"/>
    <n v="15.41"/>
    <s v="3.46B"/>
    <n v="-0.14710000000000001"/>
    <n v="-0.22438717787554999"/>
  </r>
  <r>
    <x v="6"/>
    <x v="172"/>
    <n v="12.34"/>
    <n v="15.92"/>
    <n v="17.22"/>
    <n v="12.27"/>
    <s v="4.24B"/>
    <n v="-0.2243"/>
    <n v="0.20745542949756893"/>
  </r>
  <r>
    <x v="6"/>
    <x v="173"/>
    <n v="14.9"/>
    <n v="12.37"/>
    <n v="15.65"/>
    <n v="11.8"/>
    <s v="3.22B"/>
    <n v="0.20680000000000001"/>
    <n v="8.1208053691275109E-2"/>
  </r>
  <r>
    <x v="6"/>
    <x v="174"/>
    <n v="16.11"/>
    <n v="15.35"/>
    <n v="17.739999999999998"/>
    <n v="14.81"/>
    <s v="2.99B"/>
    <n v="8.1199999999999994E-2"/>
    <n v="-6.6418373680943527E-2"/>
  </r>
  <r>
    <x v="6"/>
    <x v="175"/>
    <n v="15.04"/>
    <n v="16.18"/>
    <n v="16.3"/>
    <n v="14.07"/>
    <s v="2.01B"/>
    <n v="-6.6199999999999995E-2"/>
    <n v="6.7819148936170193E-2"/>
  </r>
  <r>
    <x v="6"/>
    <x v="176"/>
    <n v="16.059999999999999"/>
    <n v="14.94"/>
    <n v="16.899999999999999"/>
    <n v="14.56"/>
    <s v="2.05B"/>
    <n v="6.7599999999999993E-2"/>
    <n v="0.30697384806973849"/>
  </r>
  <r>
    <x v="6"/>
    <x v="177"/>
    <n v="20.99"/>
    <n v="16.100000000000001"/>
    <n v="22.72"/>
    <n v="14.95"/>
    <s v="3.53B"/>
    <n v="0.30740000000000001"/>
    <n v="4.8118151500714704E-2"/>
  </r>
  <r>
    <x v="6"/>
    <x v="178"/>
    <n v="22"/>
    <n v="21.09"/>
    <n v="24.08"/>
    <n v="20.62"/>
    <s v="2.37B"/>
    <n v="4.7699999999999999E-2"/>
    <n v="0.26772727272727276"/>
  </r>
  <r>
    <x v="6"/>
    <x v="179"/>
    <n v="27.89"/>
    <n v="21.96"/>
    <n v="29.02"/>
    <n v="21.82"/>
    <s v="3.11B"/>
    <n v="0.26790000000000003"/>
    <n v="0.5550376479024739"/>
  </r>
  <r>
    <x v="6"/>
    <x v="180"/>
    <n v="43.37"/>
    <n v="28.3"/>
    <n v="43.53"/>
    <n v="28.11"/>
    <s v="6.12B"/>
    <n v="0.55520000000000003"/>
    <n v="2.6746599031588741E-2"/>
  </r>
  <r>
    <x v="6"/>
    <x v="181"/>
    <n v="44.53"/>
    <n v="44.91"/>
    <n v="64.599999999999994"/>
    <n v="40.770000000000003"/>
    <s v="7.10B"/>
    <n v="2.6800000000000001E-2"/>
    <n v="-0.21558499887716148"/>
  </r>
  <r>
    <x v="6"/>
    <x v="182"/>
    <n v="34.93"/>
    <n v="47.42"/>
    <n v="53.8"/>
    <n v="23.37"/>
    <s v="6.32B"/>
    <n v="-0.21560000000000001"/>
    <n v="0.49241339822502156"/>
  </r>
  <r>
    <x v="6"/>
    <x v="183"/>
    <n v="52.13"/>
    <n v="33.6"/>
    <n v="57.99"/>
    <n v="29.76"/>
    <s v="5.72B"/>
    <n v="0.49209999999999998"/>
    <n v="6.7907155188950685E-2"/>
  </r>
  <r>
    <x v="6"/>
    <x v="184"/>
    <n v="55.67"/>
    <n v="50.33"/>
    <n v="56.22"/>
    <n v="45.54"/>
    <s v="4.09B"/>
    <n v="6.7900000000000002E-2"/>
    <n v="0.29315609843721918"/>
  </r>
  <r>
    <x v="6"/>
    <x v="185"/>
    <n v="71.989999999999995"/>
    <n v="57.2"/>
    <n v="72.510000000000005"/>
    <n v="56.94"/>
    <s v="3.84B"/>
    <n v="0.29320000000000002"/>
    <n v="0.32490623697735799"/>
  </r>
  <r>
    <x v="6"/>
    <x v="186"/>
    <n v="95.38"/>
    <n v="72.2"/>
    <n v="119.67"/>
    <n v="72.03"/>
    <s v="5.68B"/>
    <n v="0.32500000000000001"/>
    <n v="0.74156007548752378"/>
  </r>
  <r>
    <x v="6"/>
    <x v="187"/>
    <n v="166.11"/>
    <n v="96.61"/>
    <n v="166.71"/>
    <n v="91"/>
    <s v="4.67B"/>
    <n v="0.74150000000000005"/>
    <n v="-0.13912467641924034"/>
  </r>
  <r>
    <x v="6"/>
    <x v="188"/>
    <n v="143"/>
    <n v="167.38"/>
    <n v="167.5"/>
    <n v="109.96"/>
    <s v="5.21B"/>
    <n v="-0.1391"/>
    <n v="-9.54545454545455E-2"/>
  </r>
  <r>
    <x v="6"/>
    <x v="189"/>
    <n v="129.35"/>
    <n v="146.91999999999999"/>
    <n v="155.30000000000001"/>
    <n v="126.37"/>
    <s v="2.50B"/>
    <n v="-9.5500000000000002E-2"/>
    <n v="0.46269810591418631"/>
  </r>
  <r>
    <x v="6"/>
    <x v="190"/>
    <n v="189.2"/>
    <n v="131.33000000000001"/>
    <n v="202.6"/>
    <n v="130.77000000000001"/>
    <s v="2.35B"/>
    <n v="0.4627"/>
    <n v="0.24323467230443982"/>
  </r>
  <r>
    <x v="6"/>
    <x v="191"/>
    <n v="235.22"/>
    <n v="199.2"/>
    <n v="239.57"/>
    <n v="180.4"/>
    <s v="3.59B"/>
    <n v="0.24329999999999999"/>
    <n v="0.12452172434316806"/>
  </r>
  <r>
    <x v="6"/>
    <x v="192"/>
    <n v="264.51"/>
    <n v="239.82"/>
    <n v="300.13"/>
    <n v="239.06"/>
    <s v="2.12B"/>
    <n v="0.1245"/>
    <n v="-0.14872783637669656"/>
  </r>
  <r>
    <x v="6"/>
    <x v="193"/>
    <n v="225.17"/>
    <n v="271.43"/>
    <n v="293.5"/>
    <n v="206.33"/>
    <s v="1.57B"/>
    <n v="-0.1487"/>
    <n v="-1.123595505617978E-2"/>
  </r>
  <r>
    <x v="6"/>
    <x v="194"/>
    <n v="222.64"/>
    <n v="230.04"/>
    <n v="240.37"/>
    <n v="179.83"/>
    <s v="2.83B"/>
    <n v="-1.12E-2"/>
    <n v="6.2163133309378386E-2"/>
  </r>
  <r>
    <x v="6"/>
    <x v="195"/>
    <n v="236.48"/>
    <n v="229.46"/>
    <n v="260.26"/>
    <n v="219.81"/>
    <s v="2.04B"/>
    <n v="6.2100000000000002E-2"/>
    <n v="-0.11869925575101486"/>
  </r>
  <r>
    <x v="6"/>
    <x v="196"/>
    <n v="208.41"/>
    <n v="234.6"/>
    <n v="235.33"/>
    <n v="182.33"/>
    <s v="1.88B"/>
    <n v="-0.1187"/>
    <n v="8.7135933976296709E-2"/>
  </r>
  <r>
    <x v="6"/>
    <x v="197"/>
    <n v="226.57"/>
    <n v="209.27"/>
    <n v="232.54"/>
    <n v="190.41"/>
    <s v="1.56B"/>
    <n v="8.7099999999999997E-2"/>
    <n v="1.1034117491283047E-2"/>
  </r>
  <r>
    <x v="6"/>
    <x v="198"/>
    <n v="229.07"/>
    <n v="227.97"/>
    <n v="233.33"/>
    <n v="206.82"/>
    <s v="1.35B"/>
    <n v="1.0999999999999999E-2"/>
    <n v="7.0589776050988859E-2"/>
  </r>
  <r>
    <x v="6"/>
    <x v="199"/>
    <n v="245.24"/>
    <n v="233.33"/>
    <n v="246.8"/>
    <n v="216.28"/>
    <s v="1.15B"/>
    <n v="7.0599999999999996E-2"/>
    <n v="5.4028706573152827E-2"/>
  </r>
  <r>
    <x v="6"/>
    <x v="200"/>
    <n v="258.49"/>
    <n v="244.69"/>
    <n v="266.33"/>
    <n v="236.28"/>
    <s v="1.17B"/>
    <n v="5.3999999999999999E-2"/>
    <n v="0.43653526248597613"/>
  </r>
  <r>
    <x v="6"/>
    <x v="201"/>
    <n v="371.33"/>
    <n v="259.47000000000003"/>
    <n v="371.74"/>
    <n v="254.53"/>
    <s v="1.59B"/>
    <n v="0.4365"/>
    <n v="2.7630409608703825E-2"/>
  </r>
  <r>
    <x v="6"/>
    <x v="202"/>
    <n v="381.59"/>
    <n v="381.67"/>
    <n v="414.5"/>
    <n v="326.2"/>
    <s v="1.95B"/>
    <n v="2.76E-2"/>
    <n v="-7.6862601221205973E-2"/>
  </r>
  <r>
    <x v="6"/>
    <x v="203"/>
    <n v="352.26"/>
    <n v="386.9"/>
    <n v="390.95"/>
    <n v="295.37"/>
    <s v="1.53B"/>
    <n v="-7.6899999999999996E-2"/>
    <n v="-0.11360926588315444"/>
  </r>
  <r>
    <x v="6"/>
    <x v="204"/>
    <n v="312.24"/>
    <n v="382.58"/>
    <n v="402.67"/>
    <n v="264"/>
    <s v="1.92B"/>
    <n v="-0.11360000000000001"/>
    <n v="-7.0778888034845056E-2"/>
  </r>
  <r>
    <x v="6"/>
    <x v="205"/>
    <n v="290.14"/>
    <n v="311.74"/>
    <n v="315.92"/>
    <n v="233.33"/>
    <s v="1.39B"/>
    <n v="-7.0800000000000002E-2"/>
    <n v="0.23802302336802925"/>
  </r>
  <r>
    <x v="6"/>
    <x v="206"/>
    <n v="359.2"/>
    <n v="289.89"/>
    <n v="371.59"/>
    <n v="252.01"/>
    <s v="1.73B"/>
    <n v="0.23799999999999999"/>
    <n v="-0.19195434298440978"/>
  </r>
  <r>
    <x v="6"/>
    <x v="207"/>
    <n v="290.25"/>
    <n v="360.38"/>
    <n v="384.29"/>
    <n v="273.89999999999998"/>
    <s v="1.52B"/>
    <n v="-0.19189999999999999"/>
    <n v="-0.12919896640826872"/>
  </r>
  <r>
    <x v="6"/>
    <x v="208"/>
    <n v="252.75"/>
    <n v="286.92"/>
    <n v="318.5"/>
    <n v="206.86"/>
    <s v="1.95B"/>
    <n v="-0.12920000000000001"/>
    <n v="-0.11188921859545005"/>
  </r>
  <r>
    <x v="6"/>
    <x v="209"/>
    <n v="224.47"/>
    <n v="251.72"/>
    <n v="264.20999999999998"/>
    <n v="208.69"/>
    <s v="2.01B"/>
    <n v="-0.1119"/>
    <n v="0.32378491557891914"/>
  </r>
  <r>
    <x v="6"/>
    <x v="210"/>
    <n v="297.14999999999998"/>
    <n v="227"/>
    <n v="298.32"/>
    <n v="216.17"/>
    <s v="1.75B"/>
    <n v="0.32379999999999998"/>
    <n v="-7.2488642099949402E-2"/>
  </r>
  <r>
    <x v="6"/>
    <x v="211"/>
    <n v="275.61"/>
    <n v="301.27"/>
    <n v="314.67"/>
    <n v="271.81"/>
    <s v="1.70B"/>
    <n v="-7.2499999999999995E-2"/>
    <n v="-3.7589347266064416E-2"/>
  </r>
  <r>
    <x v="6"/>
    <x v="212"/>
    <n v="265.25"/>
    <n v="272.58"/>
    <n v="313.8"/>
    <n v="262.47000000000003"/>
    <s v="1.30B"/>
    <n v="-3.7600000000000001E-2"/>
    <n v="-0.14216776625824698"/>
  </r>
  <r>
    <x v="6"/>
    <x v="213"/>
    <n v="227.54"/>
    <n v="254.5"/>
    <n v="257.5"/>
    <n v="198.59"/>
    <s v="1.74B"/>
    <n v="-0.14219999999999999"/>
    <n v="-0.14432627230377079"/>
  </r>
  <r>
    <x v="6"/>
    <x v="214"/>
    <n v="194.7"/>
    <n v="234.05"/>
    <n v="237.4"/>
    <n v="166.18"/>
    <s v="1.89B"/>
    <n v="-0.14430000000000001"/>
    <n v="-0.36733436055469948"/>
  </r>
  <r>
    <x v="6"/>
    <x v="215"/>
    <n v="123.18"/>
    <n v="197.08"/>
    <n v="198.92"/>
    <n v="108.24"/>
    <s v="2.94B"/>
    <n v="-0.36730000000000002"/>
    <n v="0.40623477837311245"/>
  </r>
  <r>
    <x v="6"/>
    <x v="216"/>
    <n v="173.22"/>
    <n v="118.47"/>
    <n v="180.68"/>
    <n v="101.81"/>
    <s v="3.90B"/>
    <n v="0.40620000000000001"/>
    <n v="0.18756494631104959"/>
  </r>
  <r>
    <x v="6"/>
    <x v="217"/>
    <n v="205.71"/>
    <n v="173.89"/>
    <n v="217.65"/>
    <n v="169.93"/>
    <s v="3.63B"/>
    <n v="0.18759999999999999"/>
    <n v="8.507121676146031E-3"/>
  </r>
  <r>
    <x v="6"/>
    <x v="218"/>
    <n v="207.46"/>
    <n v="206.21"/>
    <n v="207.79"/>
    <n v="163.91"/>
    <s v="3.31B"/>
    <n v="8.5000000000000006E-3"/>
    <n v="-0.2079919020534079"/>
  </r>
  <r>
    <x v="6"/>
    <x v="219"/>
    <n v="164.31"/>
    <n v="199.91"/>
    <n v="202.69"/>
    <n v="152.37"/>
    <s v="2.51B"/>
    <n v="-0.20799999999999999"/>
    <n v="0.24112957215020392"/>
  </r>
  <r>
    <x v="6"/>
    <x v="220"/>
    <n v="203.93"/>
    <n v="163.16999999999999"/>
    <n v="204.48"/>
    <n v="158.83000000000001"/>
    <s v="2.68B"/>
    <n v="0.24110000000000001"/>
    <n v="0.28362673466385513"/>
  </r>
  <r>
    <x v="6"/>
    <x v="221"/>
    <n v="261.77"/>
    <n v="202.59"/>
    <n v="276.99"/>
    <n v="199.37"/>
    <s v="3.44B"/>
    <n v="0.28360000000000002"/>
    <n v="2.1622034610536064E-2"/>
  </r>
  <r>
    <x v="6"/>
    <x v="222"/>
    <n v="267.43"/>
    <n v="276.49"/>
    <n v="299.29000000000002"/>
    <n v="254.12"/>
    <s v="2.39B"/>
    <n v="2.1600000000000001E-2"/>
    <n v="-3.4962420072542431E-2"/>
  </r>
  <r>
    <x v="6"/>
    <x v="223"/>
    <n v="258.08"/>
    <n v="266.26"/>
    <n v="266.47000000000003"/>
    <n v="212.36"/>
    <s v="2.50B"/>
    <n v="-3.5000000000000003E-2"/>
    <n v="-3.0455672659640366E-2"/>
  </r>
  <r>
    <x v="6"/>
    <x v="224"/>
    <n v="250.22"/>
    <n v="257.26"/>
    <n v="278.98"/>
    <n v="234.58"/>
    <s v="2.44B"/>
    <n v="-3.0499999999999999E-2"/>
    <n v="-0.19734633522500197"/>
  </r>
  <r>
    <x v="6"/>
    <x v="225"/>
    <n v="200.84"/>
    <n v="244.81"/>
    <n v="268.94"/>
    <n v="194.07"/>
    <s v="2.59B"/>
    <n v="-0.1973"/>
    <n v="0.19537940649273058"/>
  </r>
  <r>
    <x v="6"/>
    <x v="226"/>
    <n v="240.08"/>
    <n v="204.04"/>
    <n v="252.75"/>
    <n v="197.85"/>
    <s v="2.65B"/>
    <n v="0.19539999999999999"/>
    <n v="3.4988337220926265E-2"/>
  </r>
  <r>
    <x v="6"/>
    <x v="227"/>
    <n v="248.48"/>
    <n v="233.14"/>
    <n v="265.13"/>
    <n v="228.2"/>
    <s v="2.30B"/>
    <n v="3.5000000000000003E-2"/>
    <n v="-0.24625724404378621"/>
  </r>
  <r>
    <x v="6"/>
    <x v="228"/>
    <n v="187.29"/>
    <n v="250.08"/>
    <n v="251.25"/>
    <n v="180.06"/>
    <s v="2.34B"/>
    <n v="-0.24629999999999999"/>
    <n v="7.790058198515673E-2"/>
  </r>
  <r>
    <x v="6"/>
    <x v="229"/>
    <n v="201.88"/>
    <n v="188.5"/>
    <n v="205.6"/>
    <n v="175.01"/>
    <s v="2.02B"/>
    <n v="7.7899999999999997E-2"/>
    <n v="-0.1292351892213196"/>
  </r>
  <r>
    <x v="6"/>
    <x v="230"/>
    <n v="175.79"/>
    <n v="200.52"/>
    <n v="204.52"/>
    <n v="160.51"/>
    <s v="1.90B"/>
    <n v="-0.12920000000000001"/>
    <n v="4.260765686330286E-2"/>
  </r>
  <r>
    <x v="6"/>
    <x v="231"/>
    <n v="183.28"/>
    <n v="176.17"/>
    <n v="198.87"/>
    <n v="138.80000000000001"/>
    <s v="2.48B"/>
    <n v="4.2599999999999999E-2"/>
    <n v="-2.8371890004364846E-2"/>
  </r>
  <r>
    <x v="6"/>
    <x v="232"/>
    <n v="178.08"/>
    <n v="182"/>
    <n v="187.56"/>
    <n v="167.75"/>
    <s v="1.67B"/>
    <n v="-2.8400000000000002E-2"/>
    <n v="0.11118598382749316"/>
  </r>
  <r>
    <x v="6"/>
    <x v="233"/>
    <n v="197.88"/>
    <n v="178.13"/>
    <n v="203.2"/>
    <n v="167.41"/>
    <s v="1.41B"/>
    <n v="0.11119999999999999"/>
    <n v="0.17278148372751162"/>
  </r>
  <r>
    <x v="6"/>
    <x v="234"/>
    <n v="232.07"/>
    <n v="201.02"/>
    <n v="271"/>
    <n v="200.85"/>
    <s v="2.95B"/>
    <n v="0.17280000000000001"/>
    <n v="-7.7390442538889048E-2"/>
  </r>
  <r>
    <x v="6"/>
    <x v="235"/>
    <n v="214.11"/>
    <n v="227.69"/>
    <n v="231.87"/>
    <n v="182"/>
    <s v="1.62B"/>
    <n v="-7.7399999999999997E-2"/>
    <n v="0.22194199243379562"/>
  </r>
  <r>
    <x v="6"/>
    <x v="236"/>
    <n v="261.63"/>
    <n v="215.26"/>
    <n v="264.86"/>
    <n v="209.64"/>
    <s v="1.61B"/>
    <n v="0.22189999999999999"/>
    <n v="-4.502541757443719E-2"/>
  </r>
  <r>
    <x v="6"/>
    <x v="237"/>
    <n v="249.85"/>
    <n v="262.67"/>
    <n v="273.54000000000002"/>
    <n v="212.11"/>
    <s v="1.91B"/>
    <n v="-4.4999999999999998E-2"/>
    <n v="0.38146888132879742"/>
  </r>
  <r>
    <x v="6"/>
    <x v="238"/>
    <n v="345.16"/>
    <n v="252.04"/>
    <n v="361.93"/>
    <n v="238.88"/>
    <s v="2.09B"/>
    <n v="0.38150000000000001"/>
    <n v="0.17000811217985845"/>
  </r>
  <r>
    <x v="6"/>
    <x v="239"/>
    <n v="403.84"/>
    <n v="352.38"/>
    <n v="488.54"/>
    <n v="348.2"/>
    <s v="1.90B"/>
    <n v="0.1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D5434-47D5-4C95-BAA4-F2A5758D5D00}"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1" firstHeaderRow="0" firstDataRow="1" firstDataCol="1"/>
  <pivotFields count="11">
    <pivotField axis="axisRow" showAll="0">
      <items count="8">
        <item x="0"/>
        <item x="1"/>
        <item x="2"/>
        <item x="3"/>
        <item x="4"/>
        <item x="5"/>
        <item x="6"/>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numFmtId="168" showAll="0"/>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0"/>
  </rowFields>
  <rowItems count="8">
    <i>
      <x/>
    </i>
    <i>
      <x v="1"/>
    </i>
    <i>
      <x v="2"/>
    </i>
    <i>
      <x v="3"/>
    </i>
    <i>
      <x v="4"/>
    </i>
    <i>
      <x v="5"/>
    </i>
    <i>
      <x v="6"/>
    </i>
    <i t="grand">
      <x/>
    </i>
  </rowItems>
  <colFields count="1">
    <field x="-2"/>
  </colFields>
  <colItems count="2">
    <i>
      <x/>
    </i>
    <i i="1">
      <x v="1"/>
    </i>
  </colItems>
  <dataFields count="2">
    <dataField name="Average of Daily Return" fld="8" subtotal="average" baseField="0" baseItem="6" numFmtId="169"/>
    <dataField name="StdDev of Daily Return" fld="8" subtotal="stdDev" baseField="0" baseItem="0" numFmtId="169"/>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EB836-6870-424C-91FB-FDACDBCE4A03}" name="PivotTable5"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I25" firstHeaderRow="1" firstDataRow="2" firstDataCol="1"/>
  <pivotFields count="11">
    <pivotField axis="axisCol" showAll="0">
      <items count="8">
        <item x="0"/>
        <item x="1"/>
        <item x="2"/>
        <item x="3"/>
        <item x="4"/>
        <item x="5"/>
        <item x="6"/>
        <item t="default"/>
      </items>
    </pivotField>
    <pivotField axis="axisRow"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numFmtId="168" showAll="0"/>
    <pivotField axis="axisRow"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3">
    <field x="10"/>
    <field x="9"/>
    <field x="1"/>
  </rowFields>
  <rowItems count="21">
    <i>
      <x v="1"/>
    </i>
    <i>
      <x v="2"/>
    </i>
    <i>
      <x v="3"/>
    </i>
    <i>
      <x v="4"/>
    </i>
    <i>
      <x v="5"/>
    </i>
    <i>
      <x v="6"/>
    </i>
    <i>
      <x v="7"/>
    </i>
    <i>
      <x v="8"/>
    </i>
    <i>
      <x v="9"/>
    </i>
    <i>
      <x v="10"/>
    </i>
    <i>
      <x v="11"/>
    </i>
    <i>
      <x v="12"/>
    </i>
    <i>
      <x v="13"/>
    </i>
    <i>
      <x v="14"/>
    </i>
    <i>
      <x v="15"/>
    </i>
    <i>
      <x v="16"/>
    </i>
    <i>
      <x v="17"/>
    </i>
    <i>
      <x v="18"/>
    </i>
    <i>
      <x v="19"/>
    </i>
    <i>
      <x v="20"/>
    </i>
    <i t="grand">
      <x/>
    </i>
  </rowItems>
  <colFields count="1">
    <field x="0"/>
  </colFields>
  <colItems count="8">
    <i>
      <x/>
    </i>
    <i>
      <x v="1"/>
    </i>
    <i>
      <x v="2"/>
    </i>
    <i>
      <x v="3"/>
    </i>
    <i>
      <x v="4"/>
    </i>
    <i>
      <x v="5"/>
    </i>
    <i>
      <x v="6"/>
    </i>
    <i t="grand">
      <x/>
    </i>
  </colItems>
  <dataFields count="1">
    <dataField name="Average of Price" fld="2" subtotal="average" baseField="0" baseItem="9" numFmtId="169"/>
  </dataFields>
  <chartFormats count="7">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A5656A7-B456-4DA6-9D2D-4B06AD4E7A72}" autoFormatId="16" applyNumberFormats="0" applyBorderFormats="0" applyFontFormats="0" applyPatternFormats="0" applyAlignmentFormats="0" applyWidthHeightFormats="0">
  <queryTableRefresh nextId="10" unboundColumnsRight="1">
    <queryTableFields count="9">
      <queryTableField id="1" name="Source.Name" tableColumnId="1"/>
      <queryTableField id="2" name="Date" tableColumnId="2"/>
      <queryTableField id="3" name="Price" tableColumnId="3"/>
      <queryTableField id="4" name="Open" tableColumnId="4"/>
      <queryTableField id="5" name="High" tableColumnId="5"/>
      <queryTableField id="6" name="Low" tableColumnId="6"/>
      <queryTableField id="7" name="Vol." tableColumnId="7"/>
      <queryTableField id="8" name="Change %"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Name" xr10:uid="{AEBCF866-55B3-400E-A376-E0622180B66C}" sourceName="Source.Name">
  <pivotTables>
    <pivotTable tabId="4" name="PivotTable4"/>
  </pivotTables>
  <data>
    <tabular pivotCacheId="1030359560">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Name" xr10:uid="{C497E464-013C-4186-B731-4E8164BAD45B}" cache="Slicer_Source.Name" caption="Source.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2DB3E3-6FB8-4CDD-AF25-DD3F8373A357}" name="Tech_Stock_Prjct" displayName="Tech_Stock_Prjct" ref="A1:I1526" tableType="queryTable" totalsRowShown="0">
  <autoFilter ref="A1:I1526" xr:uid="{3F2DB3E3-6FB8-4CDD-AF25-DD3F8373A357}"/>
  <sortState xmlns:xlrd2="http://schemas.microsoft.com/office/spreadsheetml/2017/richdata2" ref="A2:I1526">
    <sortCondition ref="A2:A1526"/>
    <sortCondition ref="B2:B1526"/>
  </sortState>
  <tableColumns count="9">
    <tableColumn id="1" xr3:uid="{D3B6CFC1-9CDB-423C-B4BB-36F63218E527}" uniqueName="1" name="Source.Name" queryTableFieldId="1" dataDxfId="3"/>
    <tableColumn id="2" xr3:uid="{2FA294D4-21EB-413D-9A02-F9C5066D4690}" uniqueName="2" name="Date" queryTableFieldId="2" dataDxfId="2"/>
    <tableColumn id="3" xr3:uid="{1E7F4212-8E63-4730-8AC6-41F9C6ADAEA7}" uniqueName="3" name="Price" queryTableFieldId="3"/>
    <tableColumn id="4" xr3:uid="{53DBFBE0-F07C-48A5-BBC8-17DCFEDB5914}" uniqueName="4" name="Open" queryTableFieldId="4"/>
    <tableColumn id="5" xr3:uid="{DB2350EE-F8BE-471E-AAF7-CBDEA02D3E7D}" uniqueName="5" name="High" queryTableFieldId="5"/>
    <tableColumn id="6" xr3:uid="{B1D01E39-DAFA-4843-92D2-DD3EF00B4797}" uniqueName="6" name="Low" queryTableFieldId="6"/>
    <tableColumn id="7" xr3:uid="{6F36DF60-2562-4AC5-975D-A678B06066BE}" uniqueName="7" name="Vol." queryTableFieldId="7" dataDxfId="1"/>
    <tableColumn id="8" xr3:uid="{7D56EC58-F6DD-4C8F-9658-07DCAB4B2B7B}" uniqueName="8" name="Change %" queryTableFieldId="8"/>
    <tableColumn id="9" xr3:uid="{1E732839-82F9-48E0-AF09-F18EF21B6323}" uniqueName="9" name="Daily Return" queryTableFieldId="9" dataDxfId="0" dataCellStyle="Percent">
      <calculatedColumnFormula>IF(A3=A2, (C3-C2)/C2, 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4BF5-B2CD-4485-B1E7-6FD78F313EB4}">
  <dimension ref="A1:I1526"/>
  <sheetViews>
    <sheetView topLeftCell="A2" workbookViewId="0">
      <selection activeCell="A2" sqref="A2"/>
    </sheetView>
  </sheetViews>
  <sheetFormatPr defaultRowHeight="14.5" x14ac:dyDescent="0.35"/>
  <cols>
    <col min="1" max="1" width="14.1796875" bestFit="1" customWidth="1"/>
    <col min="2" max="2" width="9.453125" bestFit="1" customWidth="1"/>
    <col min="3" max="3" width="7.1796875" bestFit="1" customWidth="1"/>
    <col min="4" max="4" width="7.6328125" bestFit="1" customWidth="1"/>
    <col min="5" max="6" width="6.81640625" bestFit="1" customWidth="1"/>
    <col min="7" max="7" width="8.08984375" bestFit="1" customWidth="1"/>
    <col min="8" max="8" width="11.90625" customWidth="1"/>
    <col min="9" max="9" width="14.26953125" customWidth="1"/>
  </cols>
  <sheetData>
    <row r="1" spans="1:9" x14ac:dyDescent="0.35">
      <c r="A1" t="s">
        <v>0</v>
      </c>
      <c r="B1" t="s">
        <v>1</v>
      </c>
      <c r="C1" t="s">
        <v>2</v>
      </c>
      <c r="D1" t="s">
        <v>3</v>
      </c>
      <c r="E1" t="s">
        <v>4</v>
      </c>
      <c r="F1" t="s">
        <v>5</v>
      </c>
      <c r="G1" t="s">
        <v>6</v>
      </c>
      <c r="H1" t="s">
        <v>7</v>
      </c>
      <c r="I1" s="3" t="s">
        <v>1079</v>
      </c>
    </row>
    <row r="2" spans="1:9" x14ac:dyDescent="0.35">
      <c r="A2" s="1" t="s">
        <v>366</v>
      </c>
      <c r="B2" s="2">
        <v>38353</v>
      </c>
      <c r="C2">
        <v>1.37</v>
      </c>
      <c r="D2">
        <v>1.1599999999999999</v>
      </c>
      <c r="E2">
        <v>1.39</v>
      </c>
      <c r="F2">
        <v>1.1200000000000001</v>
      </c>
      <c r="G2" s="1" t="s">
        <v>520</v>
      </c>
      <c r="H2">
        <v>0.1913</v>
      </c>
      <c r="I2" s="3">
        <f t="shared" ref="I2:I65" si="0">IF(A3=A2, (C3-C2)/C2, 0)</f>
        <v>0.16788321167883208</v>
      </c>
    </row>
    <row r="3" spans="1:9" x14ac:dyDescent="0.35">
      <c r="A3" s="1" t="s">
        <v>366</v>
      </c>
      <c r="B3" s="2">
        <v>38384</v>
      </c>
      <c r="C3">
        <v>1.6</v>
      </c>
      <c r="D3">
        <v>1.38</v>
      </c>
      <c r="E3">
        <v>1.62</v>
      </c>
      <c r="F3">
        <v>1.37</v>
      </c>
      <c r="G3" s="1" t="s">
        <v>519</v>
      </c>
      <c r="H3">
        <v>0.16789999999999999</v>
      </c>
      <c r="I3" s="3">
        <f t="shared" si="0"/>
        <v>-6.8750000000000061E-2</v>
      </c>
    </row>
    <row r="4" spans="1:9" x14ac:dyDescent="0.35">
      <c r="A4" s="1" t="s">
        <v>366</v>
      </c>
      <c r="B4" s="2">
        <v>38412</v>
      </c>
      <c r="C4">
        <v>1.49</v>
      </c>
      <c r="D4">
        <v>1.61</v>
      </c>
      <c r="E4">
        <v>1.61</v>
      </c>
      <c r="F4">
        <v>1.39</v>
      </c>
      <c r="G4" s="1" t="s">
        <v>518</v>
      </c>
      <c r="H4">
        <v>-6.88E-2</v>
      </c>
      <c r="I4" s="3">
        <f t="shared" si="0"/>
        <v>-0.13422818791946306</v>
      </c>
    </row>
    <row r="5" spans="1:9" x14ac:dyDescent="0.35">
      <c r="A5" s="1" t="s">
        <v>366</v>
      </c>
      <c r="B5" s="2">
        <v>38443</v>
      </c>
      <c r="C5">
        <v>1.29</v>
      </c>
      <c r="D5">
        <v>1.5</v>
      </c>
      <c r="E5">
        <v>1.59</v>
      </c>
      <c r="F5">
        <v>1.21</v>
      </c>
      <c r="G5" s="1" t="s">
        <v>481</v>
      </c>
      <c r="H5">
        <v>-0.13420000000000001</v>
      </c>
      <c r="I5" s="3">
        <f t="shared" si="0"/>
        <v>0.10077519379844953</v>
      </c>
    </row>
    <row r="6" spans="1:9" x14ac:dyDescent="0.35">
      <c r="A6" s="1" t="s">
        <v>366</v>
      </c>
      <c r="B6" s="2">
        <v>38473</v>
      </c>
      <c r="C6">
        <v>1.42</v>
      </c>
      <c r="D6">
        <v>1.29</v>
      </c>
      <c r="E6">
        <v>1.46</v>
      </c>
      <c r="F6">
        <v>1.18</v>
      </c>
      <c r="G6" s="1" t="s">
        <v>517</v>
      </c>
      <c r="H6">
        <v>0.1008</v>
      </c>
      <c r="I6" s="3">
        <f t="shared" si="0"/>
        <v>-7.7464788732394277E-2</v>
      </c>
    </row>
    <row r="7" spans="1:9" x14ac:dyDescent="0.35">
      <c r="A7" s="1" t="s">
        <v>366</v>
      </c>
      <c r="B7" s="2">
        <v>38504</v>
      </c>
      <c r="C7">
        <v>1.31</v>
      </c>
      <c r="D7">
        <v>1.42</v>
      </c>
      <c r="E7">
        <v>1.46</v>
      </c>
      <c r="F7">
        <v>1.27</v>
      </c>
      <c r="G7" s="1" t="s">
        <v>516</v>
      </c>
      <c r="H7">
        <v>-7.7499999999999999E-2</v>
      </c>
      <c r="I7" s="3">
        <f t="shared" si="0"/>
        <v>0.16030534351145034</v>
      </c>
    </row>
    <row r="8" spans="1:9" x14ac:dyDescent="0.35">
      <c r="A8" s="1" t="s">
        <v>366</v>
      </c>
      <c r="B8" s="2">
        <v>38534</v>
      </c>
      <c r="C8">
        <v>1.52</v>
      </c>
      <c r="D8">
        <v>1.32</v>
      </c>
      <c r="E8">
        <v>1.58</v>
      </c>
      <c r="F8">
        <v>1.3</v>
      </c>
      <c r="G8" s="1" t="s">
        <v>515</v>
      </c>
      <c r="H8">
        <v>0.1603</v>
      </c>
      <c r="I8" s="3">
        <f t="shared" si="0"/>
        <v>9.8684210526315735E-2</v>
      </c>
    </row>
    <row r="9" spans="1:9" x14ac:dyDescent="0.35">
      <c r="A9" s="1" t="s">
        <v>366</v>
      </c>
      <c r="B9" s="2">
        <v>38565</v>
      </c>
      <c r="C9">
        <v>1.67</v>
      </c>
      <c r="D9">
        <v>1.52</v>
      </c>
      <c r="E9">
        <v>1.73</v>
      </c>
      <c r="F9">
        <v>1.5</v>
      </c>
      <c r="G9" s="1" t="s">
        <v>470</v>
      </c>
      <c r="H9">
        <v>9.8699999999999996E-2</v>
      </c>
      <c r="I9" s="3">
        <f t="shared" si="0"/>
        <v>0.1437125748502994</v>
      </c>
    </row>
    <row r="10" spans="1:9" x14ac:dyDescent="0.35">
      <c r="A10" s="1" t="s">
        <v>366</v>
      </c>
      <c r="B10" s="2">
        <v>38596</v>
      </c>
      <c r="C10">
        <v>1.91</v>
      </c>
      <c r="D10">
        <v>1.68</v>
      </c>
      <c r="E10">
        <v>1.95</v>
      </c>
      <c r="F10">
        <v>1.65</v>
      </c>
      <c r="G10" s="1" t="s">
        <v>514</v>
      </c>
      <c r="H10">
        <v>0.14369999999999999</v>
      </c>
      <c r="I10" s="3">
        <f t="shared" si="0"/>
        <v>7.8534031413612634E-2</v>
      </c>
    </row>
    <row r="11" spans="1:9" x14ac:dyDescent="0.35">
      <c r="A11" s="1" t="s">
        <v>366</v>
      </c>
      <c r="B11" s="2">
        <v>38626</v>
      </c>
      <c r="C11">
        <v>2.06</v>
      </c>
      <c r="D11">
        <v>1.93</v>
      </c>
      <c r="E11">
        <v>2.0699999999999998</v>
      </c>
      <c r="F11">
        <v>1.71</v>
      </c>
      <c r="G11" s="1" t="s">
        <v>513</v>
      </c>
      <c r="H11">
        <v>7.85E-2</v>
      </c>
      <c r="I11" s="3">
        <f t="shared" si="0"/>
        <v>0.17475728155339798</v>
      </c>
    </row>
    <row r="12" spans="1:9" x14ac:dyDescent="0.35">
      <c r="A12" s="1" t="s">
        <v>366</v>
      </c>
      <c r="B12" s="2">
        <v>38657</v>
      </c>
      <c r="C12">
        <v>2.42</v>
      </c>
      <c r="D12">
        <v>2.04</v>
      </c>
      <c r="E12">
        <v>2.54</v>
      </c>
      <c r="F12">
        <v>2.0299999999999998</v>
      </c>
      <c r="G12" s="1" t="s">
        <v>512</v>
      </c>
      <c r="H12">
        <v>0.17480000000000001</v>
      </c>
      <c r="I12" s="3">
        <f t="shared" si="0"/>
        <v>6.1983471074380132E-2</v>
      </c>
    </row>
    <row r="13" spans="1:9" x14ac:dyDescent="0.35">
      <c r="A13" s="1" t="s">
        <v>366</v>
      </c>
      <c r="B13" s="2">
        <v>38687</v>
      </c>
      <c r="C13">
        <v>2.57</v>
      </c>
      <c r="D13">
        <v>2.46</v>
      </c>
      <c r="E13">
        <v>2.69</v>
      </c>
      <c r="F13">
        <v>2.46</v>
      </c>
      <c r="G13" s="1" t="s">
        <v>511</v>
      </c>
      <c r="H13">
        <v>6.2E-2</v>
      </c>
      <c r="I13" s="3">
        <f t="shared" si="0"/>
        <v>5.0583657587548771E-2</v>
      </c>
    </row>
    <row r="14" spans="1:9" x14ac:dyDescent="0.35">
      <c r="A14" s="1" t="s">
        <v>366</v>
      </c>
      <c r="B14" s="2">
        <v>38718</v>
      </c>
      <c r="C14">
        <v>2.7</v>
      </c>
      <c r="D14">
        <v>2.58</v>
      </c>
      <c r="E14">
        <v>3.09</v>
      </c>
      <c r="F14">
        <v>2.5299999999999998</v>
      </c>
      <c r="G14" s="1" t="s">
        <v>510</v>
      </c>
      <c r="H14">
        <v>5.0599999999999999E-2</v>
      </c>
      <c r="I14" s="3">
        <f t="shared" si="0"/>
        <v>-9.2592592592592587E-2</v>
      </c>
    </row>
    <row r="15" spans="1:9" x14ac:dyDescent="0.35">
      <c r="A15" s="1" t="s">
        <v>366</v>
      </c>
      <c r="B15" s="2">
        <v>38749</v>
      </c>
      <c r="C15">
        <v>2.4500000000000002</v>
      </c>
      <c r="D15">
        <v>2.68</v>
      </c>
      <c r="E15">
        <v>2.73</v>
      </c>
      <c r="F15">
        <v>2.25</v>
      </c>
      <c r="G15" s="1" t="s">
        <v>509</v>
      </c>
      <c r="H15">
        <v>-9.2600000000000002E-2</v>
      </c>
      <c r="I15" s="3">
        <f t="shared" si="0"/>
        <v>-8.5714285714285687E-2</v>
      </c>
    </row>
    <row r="16" spans="1:9" x14ac:dyDescent="0.35">
      <c r="A16" s="1" t="s">
        <v>366</v>
      </c>
      <c r="B16" s="2">
        <v>38777</v>
      </c>
      <c r="C16">
        <v>2.2400000000000002</v>
      </c>
      <c r="D16">
        <v>2.46</v>
      </c>
      <c r="E16">
        <v>2.5</v>
      </c>
      <c r="F16">
        <v>2.06</v>
      </c>
      <c r="G16" s="1" t="s">
        <v>508</v>
      </c>
      <c r="H16">
        <v>-8.5699999999999998E-2</v>
      </c>
      <c r="I16" s="3">
        <f t="shared" si="0"/>
        <v>0.12053571428571408</v>
      </c>
    </row>
    <row r="17" spans="1:9" x14ac:dyDescent="0.35">
      <c r="A17" s="1" t="s">
        <v>366</v>
      </c>
      <c r="B17" s="2">
        <v>38808</v>
      </c>
      <c r="C17">
        <v>2.5099999999999998</v>
      </c>
      <c r="D17">
        <v>2.27</v>
      </c>
      <c r="E17">
        <v>2.57</v>
      </c>
      <c r="F17">
        <v>2.1800000000000002</v>
      </c>
      <c r="G17" s="1" t="s">
        <v>507</v>
      </c>
      <c r="H17">
        <v>0.1205</v>
      </c>
      <c r="I17" s="3">
        <f t="shared" si="0"/>
        <v>-0.15139442231075695</v>
      </c>
    </row>
    <row r="18" spans="1:9" x14ac:dyDescent="0.35">
      <c r="A18" s="1" t="s">
        <v>366</v>
      </c>
      <c r="B18" s="2">
        <v>38838</v>
      </c>
      <c r="C18">
        <v>2.13</v>
      </c>
      <c r="D18">
        <v>2.5299999999999998</v>
      </c>
      <c r="E18">
        <v>2.64</v>
      </c>
      <c r="F18">
        <v>2.1</v>
      </c>
      <c r="G18" s="1" t="s">
        <v>506</v>
      </c>
      <c r="H18">
        <v>-0.15140000000000001</v>
      </c>
      <c r="I18" s="3">
        <f t="shared" si="0"/>
        <v>-3.7558685446009425E-2</v>
      </c>
    </row>
    <row r="19" spans="1:9" x14ac:dyDescent="0.35">
      <c r="A19" s="1" t="s">
        <v>366</v>
      </c>
      <c r="B19" s="2">
        <v>38869</v>
      </c>
      <c r="C19">
        <v>2.0499999999999998</v>
      </c>
      <c r="D19">
        <v>2.14</v>
      </c>
      <c r="E19">
        <v>2.25</v>
      </c>
      <c r="F19">
        <v>1.98</v>
      </c>
      <c r="G19" s="1" t="s">
        <v>505</v>
      </c>
      <c r="H19">
        <v>-3.7600000000000001E-2</v>
      </c>
      <c r="I19" s="3">
        <f t="shared" si="0"/>
        <v>0.18536585365853678</v>
      </c>
    </row>
    <row r="20" spans="1:9" x14ac:dyDescent="0.35">
      <c r="A20" s="1" t="s">
        <v>366</v>
      </c>
      <c r="B20" s="2">
        <v>38899</v>
      </c>
      <c r="C20">
        <v>2.4300000000000002</v>
      </c>
      <c r="D20">
        <v>2.0499999999999998</v>
      </c>
      <c r="E20">
        <v>2.4500000000000002</v>
      </c>
      <c r="F20">
        <v>1.79</v>
      </c>
      <c r="G20" s="1" t="s">
        <v>504</v>
      </c>
      <c r="H20">
        <v>0.18540000000000001</v>
      </c>
      <c r="I20" s="3">
        <f t="shared" si="0"/>
        <v>-4.1152263374486546E-3</v>
      </c>
    </row>
    <row r="21" spans="1:9" x14ac:dyDescent="0.35">
      <c r="A21" s="1" t="s">
        <v>366</v>
      </c>
      <c r="B21" s="2">
        <v>38930</v>
      </c>
      <c r="C21">
        <v>2.42</v>
      </c>
      <c r="D21">
        <v>2.4</v>
      </c>
      <c r="E21">
        <v>2.5</v>
      </c>
      <c r="F21">
        <v>2.23</v>
      </c>
      <c r="G21" s="1" t="s">
        <v>503</v>
      </c>
      <c r="H21">
        <v>-4.1000000000000003E-3</v>
      </c>
      <c r="I21" s="3">
        <f t="shared" si="0"/>
        <v>0.13636363636363641</v>
      </c>
    </row>
    <row r="22" spans="1:9" x14ac:dyDescent="0.35">
      <c r="A22" s="1" t="s">
        <v>366</v>
      </c>
      <c r="B22" s="2">
        <v>38961</v>
      </c>
      <c r="C22">
        <v>2.75</v>
      </c>
      <c r="D22">
        <v>2.4500000000000002</v>
      </c>
      <c r="E22">
        <v>2.78</v>
      </c>
      <c r="F22">
        <v>2.42</v>
      </c>
      <c r="G22" s="1" t="s">
        <v>502</v>
      </c>
      <c r="H22">
        <v>0.13639999999999999</v>
      </c>
      <c r="I22" s="3">
        <f t="shared" si="0"/>
        <v>5.4545454545454515E-2</v>
      </c>
    </row>
    <row r="23" spans="1:9" x14ac:dyDescent="0.35">
      <c r="A23" s="1" t="s">
        <v>366</v>
      </c>
      <c r="B23" s="2">
        <v>38991</v>
      </c>
      <c r="C23">
        <v>2.9</v>
      </c>
      <c r="D23">
        <v>2.68</v>
      </c>
      <c r="E23">
        <v>2.95</v>
      </c>
      <c r="F23">
        <v>2.59</v>
      </c>
      <c r="G23" s="1" t="s">
        <v>501</v>
      </c>
      <c r="H23">
        <v>5.45E-2</v>
      </c>
      <c r="I23" s="3">
        <f t="shared" si="0"/>
        <v>0.12758620689655176</v>
      </c>
    </row>
    <row r="24" spans="1:9" x14ac:dyDescent="0.35">
      <c r="A24" s="1" t="s">
        <v>366</v>
      </c>
      <c r="B24" s="2">
        <v>39022</v>
      </c>
      <c r="C24">
        <v>3.27</v>
      </c>
      <c r="D24">
        <v>2.9</v>
      </c>
      <c r="E24">
        <v>3.33</v>
      </c>
      <c r="F24">
        <v>2.78</v>
      </c>
      <c r="G24" s="1" t="s">
        <v>500</v>
      </c>
      <c r="H24">
        <v>0.12759999999999999</v>
      </c>
      <c r="I24" s="3">
        <f t="shared" si="0"/>
        <v>-7.3394495412844096E-2</v>
      </c>
    </row>
    <row r="25" spans="1:9" x14ac:dyDescent="0.35">
      <c r="A25" s="1" t="s">
        <v>366</v>
      </c>
      <c r="B25" s="2">
        <v>39052</v>
      </c>
      <c r="C25">
        <v>3.03</v>
      </c>
      <c r="D25">
        <v>3.28</v>
      </c>
      <c r="E25">
        <v>3.3</v>
      </c>
      <c r="F25">
        <v>2.74</v>
      </c>
      <c r="G25" s="1" t="s">
        <v>499</v>
      </c>
      <c r="H25">
        <v>-7.3400000000000007E-2</v>
      </c>
      <c r="I25" s="3">
        <f t="shared" si="0"/>
        <v>9.9009900990099844E-3</v>
      </c>
    </row>
    <row r="26" spans="1:9" x14ac:dyDescent="0.35">
      <c r="A26" s="1" t="s">
        <v>366</v>
      </c>
      <c r="B26" s="2">
        <v>39083</v>
      </c>
      <c r="C26">
        <v>3.06</v>
      </c>
      <c r="D26">
        <v>3.08</v>
      </c>
      <c r="E26">
        <v>3.49</v>
      </c>
      <c r="F26">
        <v>2.92</v>
      </c>
      <c r="G26" s="1" t="s">
        <v>498</v>
      </c>
      <c r="H26">
        <v>9.9000000000000008E-3</v>
      </c>
      <c r="I26" s="3">
        <f t="shared" si="0"/>
        <v>-1.3071895424836612E-2</v>
      </c>
    </row>
    <row r="27" spans="1:9" x14ac:dyDescent="0.35">
      <c r="A27" s="1" t="s">
        <v>366</v>
      </c>
      <c r="B27" s="2">
        <v>39114</v>
      </c>
      <c r="C27">
        <v>3.02</v>
      </c>
      <c r="D27">
        <v>3.08</v>
      </c>
      <c r="E27">
        <v>3.24</v>
      </c>
      <c r="F27">
        <v>2.96</v>
      </c>
      <c r="G27" s="1" t="s">
        <v>497</v>
      </c>
      <c r="H27">
        <v>-1.3100000000000001E-2</v>
      </c>
      <c r="I27" s="3">
        <f t="shared" si="0"/>
        <v>9.9337748344370799E-2</v>
      </c>
    </row>
    <row r="28" spans="1:9" x14ac:dyDescent="0.35">
      <c r="A28" s="1" t="s">
        <v>366</v>
      </c>
      <c r="B28" s="2">
        <v>39142</v>
      </c>
      <c r="C28">
        <v>3.32</v>
      </c>
      <c r="D28">
        <v>3</v>
      </c>
      <c r="E28">
        <v>3.46</v>
      </c>
      <c r="F28">
        <v>2.99</v>
      </c>
      <c r="G28" s="1" t="s">
        <v>496</v>
      </c>
      <c r="H28">
        <v>9.9299999999999999E-2</v>
      </c>
      <c r="I28" s="3">
        <f t="shared" si="0"/>
        <v>7.228915662650609E-2</v>
      </c>
    </row>
    <row r="29" spans="1:9" x14ac:dyDescent="0.35">
      <c r="A29" s="1" t="s">
        <v>366</v>
      </c>
      <c r="B29" s="2">
        <v>39173</v>
      </c>
      <c r="C29">
        <v>3.56</v>
      </c>
      <c r="D29">
        <v>3.36</v>
      </c>
      <c r="E29">
        <v>3.66</v>
      </c>
      <c r="F29">
        <v>3.2</v>
      </c>
      <c r="G29" s="1" t="s">
        <v>495</v>
      </c>
      <c r="H29">
        <v>7.2300000000000003E-2</v>
      </c>
      <c r="I29" s="3">
        <f t="shared" si="0"/>
        <v>0.21629213483146068</v>
      </c>
    </row>
    <row r="30" spans="1:9" x14ac:dyDescent="0.35">
      <c r="A30" s="1" t="s">
        <v>366</v>
      </c>
      <c r="B30" s="2">
        <v>39203</v>
      </c>
      <c r="C30">
        <v>4.33</v>
      </c>
      <c r="D30">
        <v>3.56</v>
      </c>
      <c r="E30">
        <v>4.3600000000000003</v>
      </c>
      <c r="F30">
        <v>3.52</v>
      </c>
      <c r="G30" s="1" t="s">
        <v>494</v>
      </c>
      <c r="H30">
        <v>0.21629999999999999</v>
      </c>
      <c r="I30" s="3">
        <f t="shared" si="0"/>
        <v>6.9284064665127596E-3</v>
      </c>
    </row>
    <row r="31" spans="1:9" x14ac:dyDescent="0.35">
      <c r="A31" s="1" t="s">
        <v>366</v>
      </c>
      <c r="B31" s="2">
        <v>39234</v>
      </c>
      <c r="C31">
        <v>4.3600000000000003</v>
      </c>
      <c r="D31">
        <v>4.32</v>
      </c>
      <c r="E31">
        <v>4.5599999999999996</v>
      </c>
      <c r="F31">
        <v>4.12</v>
      </c>
      <c r="G31" s="1" t="s">
        <v>493</v>
      </c>
      <c r="H31">
        <v>6.8999999999999999E-3</v>
      </c>
      <c r="I31" s="3">
        <f t="shared" si="0"/>
        <v>8.0275229357798072E-2</v>
      </c>
    </row>
    <row r="32" spans="1:9" x14ac:dyDescent="0.35">
      <c r="A32" s="1" t="s">
        <v>366</v>
      </c>
      <c r="B32" s="2">
        <v>39264</v>
      </c>
      <c r="C32">
        <v>4.71</v>
      </c>
      <c r="D32">
        <v>4.32</v>
      </c>
      <c r="E32">
        <v>5.32</v>
      </c>
      <c r="F32">
        <v>4.26</v>
      </c>
      <c r="G32" s="1" t="s">
        <v>492</v>
      </c>
      <c r="H32">
        <v>8.0299999999999996E-2</v>
      </c>
      <c r="I32" s="3">
        <f t="shared" si="0"/>
        <v>5.0955414012738898E-2</v>
      </c>
    </row>
    <row r="33" spans="1:9" x14ac:dyDescent="0.35">
      <c r="A33" s="1" t="s">
        <v>366</v>
      </c>
      <c r="B33" s="2">
        <v>39295</v>
      </c>
      <c r="C33">
        <v>4.95</v>
      </c>
      <c r="D33">
        <v>4.7699999999999996</v>
      </c>
      <c r="E33">
        <v>4.99</v>
      </c>
      <c r="F33">
        <v>3.99</v>
      </c>
      <c r="G33" s="1" t="s">
        <v>491</v>
      </c>
      <c r="H33">
        <v>5.0999999999999997E-2</v>
      </c>
      <c r="I33" s="3">
        <f t="shared" si="0"/>
        <v>0.10707070707070712</v>
      </c>
    </row>
    <row r="34" spans="1:9" x14ac:dyDescent="0.35">
      <c r="A34" s="1" t="s">
        <v>366</v>
      </c>
      <c r="B34" s="2">
        <v>39326</v>
      </c>
      <c r="C34">
        <v>5.48</v>
      </c>
      <c r="D34">
        <v>5</v>
      </c>
      <c r="E34">
        <v>5.54</v>
      </c>
      <c r="F34">
        <v>4.6399999999999997</v>
      </c>
      <c r="G34" s="1" t="s">
        <v>490</v>
      </c>
      <c r="H34">
        <v>0.1071</v>
      </c>
      <c r="I34" s="3">
        <f t="shared" si="0"/>
        <v>0.23722627737226273</v>
      </c>
    </row>
    <row r="35" spans="1:9" x14ac:dyDescent="0.35">
      <c r="A35" s="1" t="s">
        <v>366</v>
      </c>
      <c r="B35" s="2">
        <v>39356</v>
      </c>
      <c r="C35">
        <v>6.78</v>
      </c>
      <c r="D35">
        <v>5.52</v>
      </c>
      <c r="E35">
        <v>6.79</v>
      </c>
      <c r="F35">
        <v>5.46</v>
      </c>
      <c r="G35" s="1" t="s">
        <v>489</v>
      </c>
      <c r="H35">
        <v>0.23719999999999999</v>
      </c>
      <c r="I35" s="3">
        <f t="shared" si="0"/>
        <v>-3.9823008849557591E-2</v>
      </c>
    </row>
    <row r="36" spans="1:9" x14ac:dyDescent="0.35">
      <c r="A36" s="1" t="s">
        <v>366</v>
      </c>
      <c r="B36" s="2">
        <v>39387</v>
      </c>
      <c r="C36">
        <v>6.51</v>
      </c>
      <c r="D36">
        <v>6.74</v>
      </c>
      <c r="E36">
        <v>6.88</v>
      </c>
      <c r="F36">
        <v>5.38</v>
      </c>
      <c r="G36" s="1" t="s">
        <v>488</v>
      </c>
      <c r="H36">
        <v>-3.9800000000000002E-2</v>
      </c>
      <c r="I36" s="3">
        <f t="shared" si="0"/>
        <v>8.6021505376344162E-2</v>
      </c>
    </row>
    <row r="37" spans="1:9" x14ac:dyDescent="0.35">
      <c r="A37" s="1" t="s">
        <v>366</v>
      </c>
      <c r="B37" s="2">
        <v>39417</v>
      </c>
      <c r="C37">
        <v>7.07</v>
      </c>
      <c r="D37">
        <v>6.49</v>
      </c>
      <c r="E37">
        <v>7.25</v>
      </c>
      <c r="F37">
        <v>6.32</v>
      </c>
      <c r="G37" s="1" t="s">
        <v>487</v>
      </c>
      <c r="H37">
        <v>8.5999999999999993E-2</v>
      </c>
      <c r="I37" s="3">
        <f t="shared" si="0"/>
        <v>-0.31683168316831684</v>
      </c>
    </row>
    <row r="38" spans="1:9" x14ac:dyDescent="0.35">
      <c r="A38" s="1" t="s">
        <v>366</v>
      </c>
      <c r="B38" s="2">
        <v>39448</v>
      </c>
      <c r="C38">
        <v>4.83</v>
      </c>
      <c r="D38">
        <v>7.12</v>
      </c>
      <c r="E38">
        <v>7.15</v>
      </c>
      <c r="F38">
        <v>4.5</v>
      </c>
      <c r="G38" s="1" t="s">
        <v>486</v>
      </c>
      <c r="H38">
        <v>-0.31680000000000003</v>
      </c>
      <c r="I38" s="3">
        <f t="shared" si="0"/>
        <v>-7.6604554865424446E-2</v>
      </c>
    </row>
    <row r="39" spans="1:9" x14ac:dyDescent="0.35">
      <c r="A39" s="1" t="s">
        <v>366</v>
      </c>
      <c r="B39" s="2">
        <v>39479</v>
      </c>
      <c r="C39">
        <v>4.46</v>
      </c>
      <c r="D39">
        <v>4.87</v>
      </c>
      <c r="E39">
        <v>4.88</v>
      </c>
      <c r="F39">
        <v>4.12</v>
      </c>
      <c r="G39" s="1" t="s">
        <v>485</v>
      </c>
      <c r="H39">
        <v>-7.6600000000000001E-2</v>
      </c>
      <c r="I39" s="3">
        <f t="shared" si="0"/>
        <v>0.1479820627802691</v>
      </c>
    </row>
    <row r="40" spans="1:9" x14ac:dyDescent="0.35">
      <c r="A40" s="1" t="s">
        <v>366</v>
      </c>
      <c r="B40" s="2">
        <v>39508</v>
      </c>
      <c r="C40">
        <v>5.12</v>
      </c>
      <c r="D40">
        <v>4.4400000000000004</v>
      </c>
      <c r="E40">
        <v>5.2</v>
      </c>
      <c r="F40">
        <v>4.21</v>
      </c>
      <c r="G40" s="1" t="s">
        <v>484</v>
      </c>
      <c r="H40">
        <v>0.14799999999999999</v>
      </c>
      <c r="I40" s="3">
        <f t="shared" si="0"/>
        <v>0.21289062499999997</v>
      </c>
    </row>
    <row r="41" spans="1:9" x14ac:dyDescent="0.35">
      <c r="A41" s="1" t="s">
        <v>366</v>
      </c>
      <c r="B41" s="2">
        <v>39539</v>
      </c>
      <c r="C41">
        <v>6.21</v>
      </c>
      <c r="D41">
        <v>5.22</v>
      </c>
      <c r="E41">
        <v>6.43</v>
      </c>
      <c r="F41">
        <v>5.13</v>
      </c>
      <c r="G41" s="1" t="s">
        <v>483</v>
      </c>
      <c r="H41">
        <v>0.21290000000000001</v>
      </c>
      <c r="I41" s="3">
        <f t="shared" si="0"/>
        <v>8.5346215780998436E-2</v>
      </c>
    </row>
    <row r="42" spans="1:9" x14ac:dyDescent="0.35">
      <c r="A42" s="1" t="s">
        <v>366</v>
      </c>
      <c r="B42" s="2">
        <v>39569</v>
      </c>
      <c r="C42">
        <v>6.74</v>
      </c>
      <c r="D42">
        <v>6.25</v>
      </c>
      <c r="E42">
        <v>6.87</v>
      </c>
      <c r="F42">
        <v>6.14</v>
      </c>
      <c r="G42" s="1" t="s">
        <v>482</v>
      </c>
      <c r="H42">
        <v>8.5300000000000001E-2</v>
      </c>
      <c r="I42" s="3">
        <f t="shared" si="0"/>
        <v>-0.11275964391691391</v>
      </c>
    </row>
    <row r="43" spans="1:9" x14ac:dyDescent="0.35">
      <c r="A43" s="1" t="s">
        <v>366</v>
      </c>
      <c r="B43" s="2">
        <v>39600</v>
      </c>
      <c r="C43">
        <v>5.98</v>
      </c>
      <c r="D43">
        <v>6.74</v>
      </c>
      <c r="E43">
        <v>6.78</v>
      </c>
      <c r="F43">
        <v>5.86</v>
      </c>
      <c r="G43" s="1" t="s">
        <v>481</v>
      </c>
      <c r="H43">
        <v>-0.1128</v>
      </c>
      <c r="I43" s="3">
        <f t="shared" si="0"/>
        <v>-5.0167224080267671E-2</v>
      </c>
    </row>
    <row r="44" spans="1:9" x14ac:dyDescent="0.35">
      <c r="A44" s="1" t="s">
        <v>366</v>
      </c>
      <c r="B44" s="2">
        <v>39630</v>
      </c>
      <c r="C44">
        <v>5.68</v>
      </c>
      <c r="D44">
        <v>5.87</v>
      </c>
      <c r="E44">
        <v>6.46</v>
      </c>
      <c r="F44">
        <v>5.23</v>
      </c>
      <c r="G44" s="1" t="s">
        <v>480</v>
      </c>
      <c r="H44">
        <v>-5.0200000000000002E-2</v>
      </c>
      <c r="I44" s="3">
        <f t="shared" si="0"/>
        <v>6.5140845070422559E-2</v>
      </c>
    </row>
    <row r="45" spans="1:9" x14ac:dyDescent="0.35">
      <c r="A45" s="1" t="s">
        <v>366</v>
      </c>
      <c r="B45" s="2">
        <v>39661</v>
      </c>
      <c r="C45">
        <v>6.05</v>
      </c>
      <c r="D45">
        <v>5.71</v>
      </c>
      <c r="E45">
        <v>6.44</v>
      </c>
      <c r="F45">
        <v>5.46</v>
      </c>
      <c r="G45" s="1" t="s">
        <v>479</v>
      </c>
      <c r="H45">
        <v>6.5100000000000005E-2</v>
      </c>
      <c r="I45" s="3">
        <f t="shared" si="0"/>
        <v>-0.3289256198347108</v>
      </c>
    </row>
    <row r="46" spans="1:9" x14ac:dyDescent="0.35">
      <c r="A46" s="1" t="s">
        <v>366</v>
      </c>
      <c r="B46" s="2">
        <v>39692</v>
      </c>
      <c r="C46">
        <v>4.0599999999999996</v>
      </c>
      <c r="D46">
        <v>6.16</v>
      </c>
      <c r="E46">
        <v>6.2</v>
      </c>
      <c r="F46">
        <v>3.59</v>
      </c>
      <c r="G46" s="1" t="s">
        <v>478</v>
      </c>
      <c r="H46">
        <v>-0.32890000000000003</v>
      </c>
      <c r="I46" s="3">
        <f t="shared" si="0"/>
        <v>-5.4187192118226542E-2</v>
      </c>
    </row>
    <row r="47" spans="1:9" x14ac:dyDescent="0.35">
      <c r="A47" s="1" t="s">
        <v>366</v>
      </c>
      <c r="B47" s="2">
        <v>39722</v>
      </c>
      <c r="C47">
        <v>3.84</v>
      </c>
      <c r="D47">
        <v>4</v>
      </c>
      <c r="E47">
        <v>4.16</v>
      </c>
      <c r="F47">
        <v>3.04</v>
      </c>
      <c r="G47" s="1" t="s">
        <v>477</v>
      </c>
      <c r="H47">
        <v>-5.4199999999999998E-2</v>
      </c>
      <c r="I47" s="3">
        <f t="shared" si="0"/>
        <v>-0.13802083333333329</v>
      </c>
    </row>
    <row r="48" spans="1:9" x14ac:dyDescent="0.35">
      <c r="A48" s="1" t="s">
        <v>366</v>
      </c>
      <c r="B48" s="2">
        <v>39753</v>
      </c>
      <c r="C48">
        <v>3.31</v>
      </c>
      <c r="D48">
        <v>3.78</v>
      </c>
      <c r="E48">
        <v>3.99</v>
      </c>
      <c r="F48">
        <v>2.83</v>
      </c>
      <c r="G48" s="1" t="s">
        <v>476</v>
      </c>
      <c r="H48">
        <v>-0.13800000000000001</v>
      </c>
      <c r="I48" s="3">
        <f t="shared" si="0"/>
        <v>-7.8549848942598255E-2</v>
      </c>
    </row>
    <row r="49" spans="1:9" x14ac:dyDescent="0.35">
      <c r="A49" s="1" t="s">
        <v>366</v>
      </c>
      <c r="B49" s="2">
        <v>39783</v>
      </c>
      <c r="C49">
        <v>3.05</v>
      </c>
      <c r="D49">
        <v>3.26</v>
      </c>
      <c r="E49">
        <v>3.7</v>
      </c>
      <c r="F49">
        <v>3.02</v>
      </c>
      <c r="G49" s="1" t="s">
        <v>475</v>
      </c>
      <c r="H49">
        <v>-7.85E-2</v>
      </c>
      <c r="I49" s="3">
        <f t="shared" si="0"/>
        <v>5.5737704918032913E-2</v>
      </c>
    </row>
    <row r="50" spans="1:9" x14ac:dyDescent="0.35">
      <c r="A50" s="1" t="s">
        <v>366</v>
      </c>
      <c r="B50" s="2">
        <v>39814</v>
      </c>
      <c r="C50">
        <v>3.22</v>
      </c>
      <c r="D50">
        <v>3.07</v>
      </c>
      <c r="E50">
        <v>3.47</v>
      </c>
      <c r="F50">
        <v>2.79</v>
      </c>
      <c r="G50" s="1" t="s">
        <v>474</v>
      </c>
      <c r="H50">
        <v>5.57E-2</v>
      </c>
      <c r="I50" s="3">
        <f t="shared" si="0"/>
        <v>-9.3167701863354803E-3</v>
      </c>
    </row>
    <row r="51" spans="1:9" x14ac:dyDescent="0.35">
      <c r="A51" s="1" t="s">
        <v>366</v>
      </c>
      <c r="B51" s="2">
        <v>39845</v>
      </c>
      <c r="C51">
        <v>3.19</v>
      </c>
      <c r="D51">
        <v>3.18</v>
      </c>
      <c r="E51">
        <v>3.68</v>
      </c>
      <c r="F51">
        <v>3.09</v>
      </c>
      <c r="G51" s="1" t="s">
        <v>473</v>
      </c>
      <c r="H51">
        <v>-9.2999999999999992E-3</v>
      </c>
      <c r="I51" s="3">
        <f t="shared" si="0"/>
        <v>0.17554858934169282</v>
      </c>
    </row>
    <row r="52" spans="1:9" x14ac:dyDescent="0.35">
      <c r="A52" s="1" t="s">
        <v>366</v>
      </c>
      <c r="B52" s="2">
        <v>39873</v>
      </c>
      <c r="C52">
        <v>3.75</v>
      </c>
      <c r="D52">
        <v>3.15</v>
      </c>
      <c r="E52">
        <v>3.93</v>
      </c>
      <c r="F52">
        <v>2.94</v>
      </c>
      <c r="G52" s="1" t="s">
        <v>472</v>
      </c>
      <c r="H52">
        <v>0.17549999999999999</v>
      </c>
      <c r="I52" s="3">
        <f t="shared" si="0"/>
        <v>0.19733333333333339</v>
      </c>
    </row>
    <row r="53" spans="1:9" x14ac:dyDescent="0.35">
      <c r="A53" s="1" t="s">
        <v>366</v>
      </c>
      <c r="B53" s="2">
        <v>39904</v>
      </c>
      <c r="C53">
        <v>4.49</v>
      </c>
      <c r="D53">
        <v>3.72</v>
      </c>
      <c r="E53">
        <v>4.54</v>
      </c>
      <c r="F53">
        <v>3.71</v>
      </c>
      <c r="G53" s="1" t="s">
        <v>471</v>
      </c>
      <c r="H53">
        <v>0.1973</v>
      </c>
      <c r="I53" s="3">
        <f t="shared" si="0"/>
        <v>8.0178173719376258E-2</v>
      </c>
    </row>
    <row r="54" spans="1:9" x14ac:dyDescent="0.35">
      <c r="A54" s="1" t="s">
        <v>366</v>
      </c>
      <c r="B54" s="2">
        <v>39934</v>
      </c>
      <c r="C54">
        <v>4.8499999999999996</v>
      </c>
      <c r="D54">
        <v>4.49</v>
      </c>
      <c r="E54">
        <v>4.8499999999999996</v>
      </c>
      <c r="F54">
        <v>4.26</v>
      </c>
      <c r="G54" s="1" t="s">
        <v>470</v>
      </c>
      <c r="H54">
        <v>8.0199999999999994E-2</v>
      </c>
      <c r="I54" s="3">
        <f t="shared" si="0"/>
        <v>4.9484536082474273E-2</v>
      </c>
    </row>
    <row r="55" spans="1:9" x14ac:dyDescent="0.35">
      <c r="A55" s="1" t="s">
        <v>366</v>
      </c>
      <c r="B55" s="2">
        <v>39965</v>
      </c>
      <c r="C55">
        <v>5.09</v>
      </c>
      <c r="D55">
        <v>4.87</v>
      </c>
      <c r="E55">
        <v>5.23</v>
      </c>
      <c r="F55">
        <v>4.75</v>
      </c>
      <c r="G55" s="1" t="s">
        <v>469</v>
      </c>
      <c r="H55">
        <v>4.9500000000000002E-2</v>
      </c>
      <c r="I55" s="3">
        <f t="shared" si="0"/>
        <v>0.14734774066797643</v>
      </c>
    </row>
    <row r="56" spans="1:9" x14ac:dyDescent="0.35">
      <c r="A56" s="1" t="s">
        <v>366</v>
      </c>
      <c r="B56" s="2">
        <v>39995</v>
      </c>
      <c r="C56">
        <v>5.84</v>
      </c>
      <c r="D56">
        <v>5.12</v>
      </c>
      <c r="E56">
        <v>5.89</v>
      </c>
      <c r="F56">
        <v>4.8</v>
      </c>
      <c r="G56" s="1" t="s">
        <v>468</v>
      </c>
      <c r="H56">
        <v>0.14729999999999999</v>
      </c>
      <c r="I56" s="3">
        <f t="shared" si="0"/>
        <v>2.9109589041095878E-2</v>
      </c>
    </row>
    <row r="57" spans="1:9" x14ac:dyDescent="0.35">
      <c r="A57" s="1" t="s">
        <v>366</v>
      </c>
      <c r="B57" s="2">
        <v>40026</v>
      </c>
      <c r="C57">
        <v>6.01</v>
      </c>
      <c r="D57">
        <v>5.9</v>
      </c>
      <c r="E57">
        <v>6.16</v>
      </c>
      <c r="F57">
        <v>5.69</v>
      </c>
      <c r="G57" s="1" t="s">
        <v>467</v>
      </c>
      <c r="H57">
        <v>2.9100000000000001E-2</v>
      </c>
      <c r="I57" s="3">
        <f t="shared" si="0"/>
        <v>0.10149750415973384</v>
      </c>
    </row>
    <row r="58" spans="1:9" x14ac:dyDescent="0.35">
      <c r="A58" s="1" t="s">
        <v>366</v>
      </c>
      <c r="B58" s="2">
        <v>40057</v>
      </c>
      <c r="C58">
        <v>6.62</v>
      </c>
      <c r="D58">
        <v>6</v>
      </c>
      <c r="E58">
        <v>6.75</v>
      </c>
      <c r="F58">
        <v>5.86</v>
      </c>
      <c r="G58" s="1" t="s">
        <v>466</v>
      </c>
      <c r="H58">
        <v>0.10150000000000001</v>
      </c>
      <c r="I58" s="3">
        <f t="shared" si="0"/>
        <v>1.6616314199395819E-2</v>
      </c>
    </row>
    <row r="59" spans="1:9" x14ac:dyDescent="0.35">
      <c r="A59" s="1" t="s">
        <v>366</v>
      </c>
      <c r="B59" s="2">
        <v>40087</v>
      </c>
      <c r="C59">
        <v>6.73</v>
      </c>
      <c r="D59">
        <v>6.62</v>
      </c>
      <c r="E59">
        <v>7.45</v>
      </c>
      <c r="F59">
        <v>6.45</v>
      </c>
      <c r="G59" s="1" t="s">
        <v>465</v>
      </c>
      <c r="H59">
        <v>1.66E-2</v>
      </c>
      <c r="I59" s="3">
        <f t="shared" si="0"/>
        <v>6.0921248142644761E-2</v>
      </c>
    </row>
    <row r="60" spans="1:9" x14ac:dyDescent="0.35">
      <c r="A60" s="1" t="s">
        <v>366</v>
      </c>
      <c r="B60" s="2">
        <v>40118</v>
      </c>
      <c r="C60">
        <v>7.14</v>
      </c>
      <c r="D60">
        <v>6.78</v>
      </c>
      <c r="E60">
        <v>7.43</v>
      </c>
      <c r="F60">
        <v>6.63</v>
      </c>
      <c r="G60" s="1" t="s">
        <v>464</v>
      </c>
      <c r="H60">
        <v>6.0900000000000003E-2</v>
      </c>
      <c r="I60" s="3">
        <f t="shared" si="0"/>
        <v>5.4621848739495882E-2</v>
      </c>
    </row>
    <row r="61" spans="1:9" x14ac:dyDescent="0.35">
      <c r="A61" s="1" t="s">
        <v>366</v>
      </c>
      <c r="B61" s="2">
        <v>40148</v>
      </c>
      <c r="C61">
        <v>7.53</v>
      </c>
      <c r="D61">
        <v>7.22</v>
      </c>
      <c r="E61">
        <v>7.64</v>
      </c>
      <c r="F61">
        <v>6.74</v>
      </c>
      <c r="G61" s="1" t="s">
        <v>463</v>
      </c>
      <c r="H61">
        <v>5.4600000000000003E-2</v>
      </c>
      <c r="I61" s="3">
        <f t="shared" si="0"/>
        <v>-8.8977423638778211E-2</v>
      </c>
    </row>
    <row r="62" spans="1:9" x14ac:dyDescent="0.35">
      <c r="A62" s="1" t="s">
        <v>366</v>
      </c>
      <c r="B62" s="2">
        <v>40179</v>
      </c>
      <c r="C62">
        <v>6.86</v>
      </c>
      <c r="D62">
        <v>7.62</v>
      </c>
      <c r="E62">
        <v>7.7</v>
      </c>
      <c r="F62">
        <v>6.79</v>
      </c>
      <c r="G62" s="1" t="s">
        <v>462</v>
      </c>
      <c r="H62">
        <v>-8.8999999999999996E-2</v>
      </c>
      <c r="I62" s="3">
        <f t="shared" si="0"/>
        <v>6.5597667638483861E-2</v>
      </c>
    </row>
    <row r="63" spans="1:9" x14ac:dyDescent="0.35">
      <c r="A63" s="1" t="s">
        <v>366</v>
      </c>
      <c r="B63" s="2">
        <v>40210</v>
      </c>
      <c r="C63">
        <v>7.31</v>
      </c>
      <c r="D63">
        <v>6.87</v>
      </c>
      <c r="E63">
        <v>7.33</v>
      </c>
      <c r="F63">
        <v>6.82</v>
      </c>
      <c r="G63" s="1" t="s">
        <v>461</v>
      </c>
      <c r="H63">
        <v>6.5600000000000006E-2</v>
      </c>
      <c r="I63" s="3">
        <f t="shared" si="0"/>
        <v>0.14774281805745568</v>
      </c>
    </row>
    <row r="64" spans="1:9" x14ac:dyDescent="0.35">
      <c r="A64" s="1" t="s">
        <v>366</v>
      </c>
      <c r="B64" s="2">
        <v>40238</v>
      </c>
      <c r="C64">
        <v>8.39</v>
      </c>
      <c r="D64">
        <v>7.35</v>
      </c>
      <c r="E64">
        <v>8.48</v>
      </c>
      <c r="F64">
        <v>7.34</v>
      </c>
      <c r="G64" s="1" t="s">
        <v>460</v>
      </c>
      <c r="H64">
        <v>0.1477</v>
      </c>
      <c r="I64" s="3">
        <f t="shared" si="0"/>
        <v>0.11084624553039328</v>
      </c>
    </row>
    <row r="65" spans="1:9" x14ac:dyDescent="0.35">
      <c r="A65" s="1" t="s">
        <v>366</v>
      </c>
      <c r="B65" s="2">
        <v>40269</v>
      </c>
      <c r="C65">
        <v>9.32</v>
      </c>
      <c r="D65">
        <v>8.48</v>
      </c>
      <c r="E65">
        <v>9.73</v>
      </c>
      <c r="F65">
        <v>8.31</v>
      </c>
      <c r="G65" s="1" t="s">
        <v>459</v>
      </c>
      <c r="H65">
        <v>0.1108</v>
      </c>
      <c r="I65" s="3">
        <f t="shared" si="0"/>
        <v>-1.6094420600858406E-2</v>
      </c>
    </row>
    <row r="66" spans="1:9" x14ac:dyDescent="0.35">
      <c r="A66" s="1" t="s">
        <v>366</v>
      </c>
      <c r="B66" s="2">
        <v>40299</v>
      </c>
      <c r="C66">
        <v>9.17</v>
      </c>
      <c r="D66">
        <v>9.42</v>
      </c>
      <c r="E66">
        <v>9.57</v>
      </c>
      <c r="F66">
        <v>7.12</v>
      </c>
      <c r="G66" s="1" t="s">
        <v>458</v>
      </c>
      <c r="H66">
        <v>-1.61E-2</v>
      </c>
      <c r="I66" s="3">
        <f t="shared" ref="I66:I129" si="1">IF(A67=A66, (C67-C66)/C66, 0)</f>
        <v>-2.071973827699013E-2</v>
      </c>
    </row>
    <row r="67" spans="1:9" x14ac:dyDescent="0.35">
      <c r="A67" s="1" t="s">
        <v>366</v>
      </c>
      <c r="B67" s="2">
        <v>40330</v>
      </c>
      <c r="C67">
        <v>8.98</v>
      </c>
      <c r="D67">
        <v>9.27</v>
      </c>
      <c r="E67">
        <v>9.9600000000000009</v>
      </c>
      <c r="F67">
        <v>8.65</v>
      </c>
      <c r="G67" s="1" t="s">
        <v>457</v>
      </c>
      <c r="H67">
        <v>-2.07E-2</v>
      </c>
      <c r="I67" s="3">
        <f t="shared" si="1"/>
        <v>2.3385300668151345E-2</v>
      </c>
    </row>
    <row r="68" spans="1:9" x14ac:dyDescent="0.35">
      <c r="A68" s="1" t="s">
        <v>366</v>
      </c>
      <c r="B68" s="2">
        <v>40360</v>
      </c>
      <c r="C68">
        <v>9.19</v>
      </c>
      <c r="D68">
        <v>9.08</v>
      </c>
      <c r="E68">
        <v>9.5</v>
      </c>
      <c r="F68">
        <v>8.56</v>
      </c>
      <c r="G68" s="1" t="s">
        <v>456</v>
      </c>
      <c r="H68">
        <v>2.3400000000000001E-2</v>
      </c>
      <c r="I68" s="3">
        <f t="shared" si="1"/>
        <v>-5.5495103373231755E-2</v>
      </c>
    </row>
    <row r="69" spans="1:9" x14ac:dyDescent="0.35">
      <c r="A69" s="1" t="s">
        <v>366</v>
      </c>
      <c r="B69" s="2">
        <v>40391</v>
      </c>
      <c r="C69">
        <v>8.68</v>
      </c>
      <c r="D69">
        <v>9.3000000000000007</v>
      </c>
      <c r="E69">
        <v>9.44</v>
      </c>
      <c r="F69">
        <v>8.41</v>
      </c>
      <c r="G69" s="1" t="s">
        <v>455</v>
      </c>
      <c r="H69">
        <v>-5.5500000000000001E-2</v>
      </c>
      <c r="I69" s="3">
        <f t="shared" si="1"/>
        <v>0.16705069124423977</v>
      </c>
    </row>
    <row r="70" spans="1:9" x14ac:dyDescent="0.35">
      <c r="A70" s="1" t="s">
        <v>366</v>
      </c>
      <c r="B70" s="2">
        <v>40422</v>
      </c>
      <c r="C70">
        <v>10.130000000000001</v>
      </c>
      <c r="D70">
        <v>8.84</v>
      </c>
      <c r="E70">
        <v>10.53</v>
      </c>
      <c r="F70">
        <v>8.8000000000000007</v>
      </c>
      <c r="G70" s="1" t="s">
        <v>454</v>
      </c>
      <c r="H70">
        <v>0.1671</v>
      </c>
      <c r="I70" s="3">
        <f t="shared" si="1"/>
        <v>6.1204343534057175E-2</v>
      </c>
    </row>
    <row r="71" spans="1:9" x14ac:dyDescent="0.35">
      <c r="A71" s="1" t="s">
        <v>366</v>
      </c>
      <c r="B71" s="2">
        <v>40452</v>
      </c>
      <c r="C71">
        <v>10.75</v>
      </c>
      <c r="D71">
        <v>10.220000000000001</v>
      </c>
      <c r="E71">
        <v>11.39</v>
      </c>
      <c r="F71">
        <v>9.92</v>
      </c>
      <c r="G71" s="1" t="s">
        <v>453</v>
      </c>
      <c r="H71">
        <v>6.1199999999999997E-2</v>
      </c>
      <c r="I71" s="3">
        <f t="shared" si="1"/>
        <v>3.3488372093023203E-2</v>
      </c>
    </row>
    <row r="72" spans="1:9" x14ac:dyDescent="0.35">
      <c r="A72" s="1" t="s">
        <v>366</v>
      </c>
      <c r="B72" s="2">
        <v>40483</v>
      </c>
      <c r="C72">
        <v>11.11</v>
      </c>
      <c r="D72">
        <v>10.79</v>
      </c>
      <c r="E72">
        <v>11.47</v>
      </c>
      <c r="F72">
        <v>10.63</v>
      </c>
      <c r="G72" s="1" t="s">
        <v>452</v>
      </c>
      <c r="H72">
        <v>3.3500000000000002E-2</v>
      </c>
      <c r="I72" s="3">
        <f t="shared" si="1"/>
        <v>3.6903690369036915E-2</v>
      </c>
    </row>
    <row r="73" spans="1:9" x14ac:dyDescent="0.35">
      <c r="A73" s="1" t="s">
        <v>366</v>
      </c>
      <c r="B73" s="2">
        <v>40513</v>
      </c>
      <c r="C73">
        <v>11.52</v>
      </c>
      <c r="D73">
        <v>11.26</v>
      </c>
      <c r="E73">
        <v>11.67</v>
      </c>
      <c r="F73">
        <v>11.25</v>
      </c>
      <c r="G73" s="1" t="s">
        <v>348</v>
      </c>
      <c r="H73">
        <v>3.6900000000000002E-2</v>
      </c>
      <c r="I73" s="3">
        <f t="shared" si="1"/>
        <v>5.2083333333333301E-2</v>
      </c>
    </row>
    <row r="74" spans="1:9" x14ac:dyDescent="0.35">
      <c r="A74" s="1" t="s">
        <v>366</v>
      </c>
      <c r="B74" s="2">
        <v>40544</v>
      </c>
      <c r="C74">
        <v>12.12</v>
      </c>
      <c r="D74">
        <v>11.63</v>
      </c>
      <c r="E74">
        <v>12.45</v>
      </c>
      <c r="F74">
        <v>11.6</v>
      </c>
      <c r="G74" s="1" t="s">
        <v>451</v>
      </c>
      <c r="H74">
        <v>5.21E-2</v>
      </c>
      <c r="I74" s="3">
        <f t="shared" si="1"/>
        <v>4.0429042904290446E-2</v>
      </c>
    </row>
    <row r="75" spans="1:9" x14ac:dyDescent="0.35">
      <c r="A75" s="1" t="s">
        <v>366</v>
      </c>
      <c r="B75" s="2">
        <v>40575</v>
      </c>
      <c r="C75">
        <v>12.61</v>
      </c>
      <c r="D75">
        <v>12.19</v>
      </c>
      <c r="E75">
        <v>13.03</v>
      </c>
      <c r="F75">
        <v>12.06</v>
      </c>
      <c r="G75" s="1" t="s">
        <v>450</v>
      </c>
      <c r="H75">
        <v>4.0399999999999998E-2</v>
      </c>
      <c r="I75" s="3">
        <f t="shared" si="1"/>
        <v>-1.2688342585249814E-2</v>
      </c>
    </row>
    <row r="76" spans="1:9" x14ac:dyDescent="0.35">
      <c r="A76" s="1" t="s">
        <v>366</v>
      </c>
      <c r="B76" s="2">
        <v>40603</v>
      </c>
      <c r="C76">
        <v>12.45</v>
      </c>
      <c r="D76">
        <v>12.7</v>
      </c>
      <c r="E76">
        <v>12.92</v>
      </c>
      <c r="F76">
        <v>11.65</v>
      </c>
      <c r="G76" s="1" t="s">
        <v>449</v>
      </c>
      <c r="H76">
        <v>-1.2699999999999999E-2</v>
      </c>
      <c r="I76" s="3">
        <f t="shared" si="1"/>
        <v>4.0160642570281693E-3</v>
      </c>
    </row>
    <row r="77" spans="1:9" x14ac:dyDescent="0.35">
      <c r="A77" s="1" t="s">
        <v>366</v>
      </c>
      <c r="B77" s="2">
        <v>40634</v>
      </c>
      <c r="C77">
        <v>12.5</v>
      </c>
      <c r="D77">
        <v>12.54</v>
      </c>
      <c r="E77">
        <v>12.68</v>
      </c>
      <c r="F77">
        <v>11.43</v>
      </c>
      <c r="G77" s="1" t="s">
        <v>448</v>
      </c>
      <c r="H77">
        <v>4.0000000000000001E-3</v>
      </c>
      <c r="I77" s="3">
        <f t="shared" si="1"/>
        <v>-6.4000000000000055E-3</v>
      </c>
    </row>
    <row r="78" spans="1:9" x14ac:dyDescent="0.35">
      <c r="A78" s="1" t="s">
        <v>366</v>
      </c>
      <c r="B78" s="2">
        <v>40664</v>
      </c>
      <c r="C78">
        <v>12.42</v>
      </c>
      <c r="D78">
        <v>12.49</v>
      </c>
      <c r="E78">
        <v>12.57</v>
      </c>
      <c r="F78">
        <v>11.76</v>
      </c>
      <c r="G78" s="1" t="s">
        <v>447</v>
      </c>
      <c r="H78">
        <v>-6.4000000000000003E-3</v>
      </c>
      <c r="I78" s="3">
        <f t="shared" si="1"/>
        <v>-3.462157809983895E-2</v>
      </c>
    </row>
    <row r="79" spans="1:9" x14ac:dyDescent="0.35">
      <c r="A79" s="1" t="s">
        <v>366</v>
      </c>
      <c r="B79" s="2">
        <v>40695</v>
      </c>
      <c r="C79">
        <v>11.99</v>
      </c>
      <c r="D79">
        <v>12.46</v>
      </c>
      <c r="E79">
        <v>12.58</v>
      </c>
      <c r="F79">
        <v>11.09</v>
      </c>
      <c r="G79" s="1" t="s">
        <v>446</v>
      </c>
      <c r="H79">
        <v>-3.4599999999999999E-2</v>
      </c>
      <c r="I79" s="3">
        <f t="shared" si="1"/>
        <v>0.16346955796497073</v>
      </c>
    </row>
    <row r="80" spans="1:9" x14ac:dyDescent="0.35">
      <c r="A80" s="1" t="s">
        <v>366</v>
      </c>
      <c r="B80" s="2">
        <v>40725</v>
      </c>
      <c r="C80">
        <v>13.95</v>
      </c>
      <c r="D80">
        <v>12</v>
      </c>
      <c r="E80">
        <v>14.45</v>
      </c>
      <c r="F80">
        <v>11.94</v>
      </c>
      <c r="G80" s="1" t="s">
        <v>445</v>
      </c>
      <c r="H80">
        <v>0.16350000000000001</v>
      </c>
      <c r="I80" s="3">
        <f t="shared" si="1"/>
        <v>-1.505376344086015E-2</v>
      </c>
    </row>
    <row r="81" spans="1:9" x14ac:dyDescent="0.35">
      <c r="A81" s="1" t="s">
        <v>366</v>
      </c>
      <c r="B81" s="2">
        <v>40756</v>
      </c>
      <c r="C81">
        <v>13.74</v>
      </c>
      <c r="D81">
        <v>14.21</v>
      </c>
      <c r="E81">
        <v>14.27</v>
      </c>
      <c r="F81">
        <v>12.61</v>
      </c>
      <c r="G81" s="1" t="s">
        <v>444</v>
      </c>
      <c r="H81">
        <v>-1.5100000000000001E-2</v>
      </c>
      <c r="I81" s="3">
        <f t="shared" si="1"/>
        <v>-8.733624454148544E-3</v>
      </c>
    </row>
    <row r="82" spans="1:9" x14ac:dyDescent="0.35">
      <c r="A82" s="1" t="s">
        <v>366</v>
      </c>
      <c r="B82" s="2">
        <v>40787</v>
      </c>
      <c r="C82">
        <v>13.62</v>
      </c>
      <c r="D82">
        <v>13.78</v>
      </c>
      <c r="E82">
        <v>15.1</v>
      </c>
      <c r="F82">
        <v>13.09</v>
      </c>
      <c r="G82" s="1" t="s">
        <v>443</v>
      </c>
      <c r="H82">
        <v>-8.6999999999999994E-3</v>
      </c>
      <c r="I82" s="3">
        <f t="shared" si="1"/>
        <v>6.1674008810572813E-2</v>
      </c>
    </row>
    <row r="83" spans="1:9" x14ac:dyDescent="0.35">
      <c r="A83" s="1" t="s">
        <v>366</v>
      </c>
      <c r="B83" s="2">
        <v>40817</v>
      </c>
      <c r="C83">
        <v>14.46</v>
      </c>
      <c r="D83">
        <v>13.58</v>
      </c>
      <c r="E83">
        <v>15.24</v>
      </c>
      <c r="F83">
        <v>12.65</v>
      </c>
      <c r="G83" s="1" t="s">
        <v>442</v>
      </c>
      <c r="H83">
        <v>6.1699999999999998E-2</v>
      </c>
      <c r="I83" s="3">
        <f t="shared" si="1"/>
        <v>-5.6016597510373474E-2</v>
      </c>
    </row>
    <row r="84" spans="1:9" x14ac:dyDescent="0.35">
      <c r="A84" s="1" t="s">
        <v>366</v>
      </c>
      <c r="B84" s="2">
        <v>40848</v>
      </c>
      <c r="C84">
        <v>13.65</v>
      </c>
      <c r="D84">
        <v>14.19</v>
      </c>
      <c r="E84">
        <v>14.57</v>
      </c>
      <c r="F84">
        <v>12.98</v>
      </c>
      <c r="G84" s="1" t="s">
        <v>441</v>
      </c>
      <c r="H84">
        <v>-5.6000000000000001E-2</v>
      </c>
      <c r="I84" s="3">
        <f t="shared" si="1"/>
        <v>5.9340659340659373E-2</v>
      </c>
    </row>
    <row r="85" spans="1:9" x14ac:dyDescent="0.35">
      <c r="A85" s="1" t="s">
        <v>366</v>
      </c>
      <c r="B85" s="2">
        <v>40878</v>
      </c>
      <c r="C85">
        <v>14.46</v>
      </c>
      <c r="D85">
        <v>13.66</v>
      </c>
      <c r="E85">
        <v>14.61</v>
      </c>
      <c r="F85">
        <v>13.49</v>
      </c>
      <c r="G85" s="1" t="s">
        <v>440</v>
      </c>
      <c r="H85">
        <v>5.9299999999999999E-2</v>
      </c>
      <c r="I85" s="3">
        <f t="shared" si="1"/>
        <v>0.1272475795297372</v>
      </c>
    </row>
    <row r="86" spans="1:9" x14ac:dyDescent="0.35">
      <c r="A86" s="1" t="s">
        <v>366</v>
      </c>
      <c r="B86" s="2">
        <v>40909</v>
      </c>
      <c r="C86">
        <v>16.3</v>
      </c>
      <c r="D86">
        <v>14.62</v>
      </c>
      <c r="E86">
        <v>16.37</v>
      </c>
      <c r="F86">
        <v>14.61</v>
      </c>
      <c r="G86" s="1" t="s">
        <v>439</v>
      </c>
      <c r="H86">
        <v>0.12720000000000001</v>
      </c>
      <c r="I86" s="3">
        <f t="shared" si="1"/>
        <v>0.18834355828220861</v>
      </c>
    </row>
    <row r="87" spans="1:9" x14ac:dyDescent="0.35">
      <c r="A87" s="1" t="s">
        <v>366</v>
      </c>
      <c r="B87" s="2">
        <v>40940</v>
      </c>
      <c r="C87">
        <v>19.37</v>
      </c>
      <c r="D87">
        <v>16.37</v>
      </c>
      <c r="E87">
        <v>19.559999999999999</v>
      </c>
      <c r="F87">
        <v>16.21</v>
      </c>
      <c r="G87" s="1" t="s">
        <v>438</v>
      </c>
      <c r="H87">
        <v>0.1883</v>
      </c>
      <c r="I87" s="3">
        <f t="shared" si="1"/>
        <v>0.1053175012906556</v>
      </c>
    </row>
    <row r="88" spans="1:9" x14ac:dyDescent="0.35">
      <c r="A88" s="1" t="s">
        <v>366</v>
      </c>
      <c r="B88" s="2">
        <v>40969</v>
      </c>
      <c r="C88">
        <v>21.41</v>
      </c>
      <c r="D88">
        <v>19.579999999999998</v>
      </c>
      <c r="E88">
        <v>22.19</v>
      </c>
      <c r="F88">
        <v>18.440000000000001</v>
      </c>
      <c r="G88" s="1" t="s">
        <v>437</v>
      </c>
      <c r="H88">
        <v>0.1053</v>
      </c>
      <c r="I88" s="3">
        <f t="shared" si="1"/>
        <v>-2.5688930406352204E-2</v>
      </c>
    </row>
    <row r="89" spans="1:9" x14ac:dyDescent="0.35">
      <c r="A89" s="1" t="s">
        <v>366</v>
      </c>
      <c r="B89" s="2">
        <v>41000</v>
      </c>
      <c r="C89">
        <v>20.86</v>
      </c>
      <c r="D89">
        <v>21.49</v>
      </c>
      <c r="E89">
        <v>23</v>
      </c>
      <c r="F89">
        <v>19.82</v>
      </c>
      <c r="G89" s="1" t="s">
        <v>436</v>
      </c>
      <c r="H89">
        <v>-2.5700000000000001E-2</v>
      </c>
      <c r="I89" s="3">
        <f t="shared" si="1"/>
        <v>-1.102588686481306E-2</v>
      </c>
    </row>
    <row r="90" spans="1:9" x14ac:dyDescent="0.35">
      <c r="A90" s="1" t="s">
        <v>366</v>
      </c>
      <c r="B90" s="2">
        <v>41030</v>
      </c>
      <c r="C90">
        <v>20.63</v>
      </c>
      <c r="D90">
        <v>20.89</v>
      </c>
      <c r="E90">
        <v>21.31</v>
      </c>
      <c r="F90">
        <v>18.649999999999999</v>
      </c>
      <c r="G90" s="1" t="s">
        <v>435</v>
      </c>
      <c r="H90">
        <v>-1.0999999999999999E-2</v>
      </c>
      <c r="I90" s="3">
        <f t="shared" si="1"/>
        <v>1.1148812409112963E-2</v>
      </c>
    </row>
    <row r="91" spans="1:9" x14ac:dyDescent="0.35">
      <c r="A91" s="1" t="s">
        <v>366</v>
      </c>
      <c r="B91" s="2">
        <v>41061</v>
      </c>
      <c r="C91">
        <v>20.86</v>
      </c>
      <c r="D91">
        <v>20.329999999999998</v>
      </c>
      <c r="E91">
        <v>21.07</v>
      </c>
      <c r="F91">
        <v>19.59</v>
      </c>
      <c r="G91" s="1" t="s">
        <v>434</v>
      </c>
      <c r="H91">
        <v>1.11E-2</v>
      </c>
      <c r="I91" s="3">
        <f t="shared" si="1"/>
        <v>4.5541706615532085E-2</v>
      </c>
    </row>
    <row r="92" spans="1:9" x14ac:dyDescent="0.35">
      <c r="A92" s="1" t="s">
        <v>366</v>
      </c>
      <c r="B92" s="2">
        <v>41091</v>
      </c>
      <c r="C92">
        <v>21.81</v>
      </c>
      <c r="D92">
        <v>20.88</v>
      </c>
      <c r="E92">
        <v>22.14</v>
      </c>
      <c r="F92">
        <v>20.36</v>
      </c>
      <c r="G92" s="1" t="s">
        <v>433</v>
      </c>
      <c r="H92">
        <v>4.5499999999999999E-2</v>
      </c>
      <c r="I92" s="3">
        <f t="shared" si="1"/>
        <v>8.9408528198074419E-2</v>
      </c>
    </row>
    <row r="93" spans="1:9" x14ac:dyDescent="0.35">
      <c r="A93" s="1" t="s">
        <v>366</v>
      </c>
      <c r="B93" s="2">
        <v>41122</v>
      </c>
      <c r="C93">
        <v>23.76</v>
      </c>
      <c r="D93">
        <v>22</v>
      </c>
      <c r="E93">
        <v>24.32</v>
      </c>
      <c r="F93">
        <v>21.44</v>
      </c>
      <c r="G93" s="1" t="s">
        <v>432</v>
      </c>
      <c r="H93">
        <v>8.9399999999999993E-2</v>
      </c>
      <c r="I93" s="3">
        <f t="shared" si="1"/>
        <v>2.9461279461278083E-3</v>
      </c>
    </row>
    <row r="94" spans="1:9" x14ac:dyDescent="0.35">
      <c r="A94" s="1" t="s">
        <v>366</v>
      </c>
      <c r="B94" s="2">
        <v>41153</v>
      </c>
      <c r="C94">
        <v>23.83</v>
      </c>
      <c r="D94">
        <v>23.78</v>
      </c>
      <c r="E94">
        <v>25.18</v>
      </c>
      <c r="F94">
        <v>23.43</v>
      </c>
      <c r="G94" s="1" t="s">
        <v>431</v>
      </c>
      <c r="H94">
        <v>2.8999999999999998E-3</v>
      </c>
      <c r="I94" s="3">
        <f t="shared" si="1"/>
        <v>-0.10784725136382697</v>
      </c>
    </row>
    <row r="95" spans="1:9" x14ac:dyDescent="0.35">
      <c r="A95" s="1" t="s">
        <v>366</v>
      </c>
      <c r="B95" s="2">
        <v>41183</v>
      </c>
      <c r="C95">
        <v>21.26</v>
      </c>
      <c r="D95">
        <v>23.97</v>
      </c>
      <c r="E95">
        <v>24.17</v>
      </c>
      <c r="F95">
        <v>20.99</v>
      </c>
      <c r="G95" s="1" t="s">
        <v>429</v>
      </c>
      <c r="H95">
        <v>-0.10780000000000001</v>
      </c>
      <c r="I95" s="3">
        <f t="shared" si="1"/>
        <v>-1.6933207902163828E-2</v>
      </c>
    </row>
    <row r="96" spans="1:9" x14ac:dyDescent="0.35">
      <c r="A96" s="1" t="s">
        <v>366</v>
      </c>
      <c r="B96" s="2">
        <v>41214</v>
      </c>
      <c r="C96">
        <v>20.9</v>
      </c>
      <c r="D96">
        <v>21.36</v>
      </c>
      <c r="E96">
        <v>21.54</v>
      </c>
      <c r="F96">
        <v>18.059999999999999</v>
      </c>
      <c r="G96" s="1" t="s">
        <v>430</v>
      </c>
      <c r="H96">
        <v>-1.6899999999999998E-2</v>
      </c>
      <c r="I96" s="3">
        <f t="shared" si="1"/>
        <v>-9.0430622009569236E-2</v>
      </c>
    </row>
    <row r="97" spans="1:9" x14ac:dyDescent="0.35">
      <c r="A97" s="1" t="s">
        <v>366</v>
      </c>
      <c r="B97" s="2">
        <v>41244</v>
      </c>
      <c r="C97">
        <v>19.010000000000002</v>
      </c>
      <c r="D97">
        <v>21.2</v>
      </c>
      <c r="E97">
        <v>21.24</v>
      </c>
      <c r="F97">
        <v>17.899999999999999</v>
      </c>
      <c r="G97" s="1" t="s">
        <v>429</v>
      </c>
      <c r="H97">
        <v>-9.0399999999999994E-2</v>
      </c>
      <c r="I97" s="3">
        <f t="shared" si="1"/>
        <v>-0.14413466596528152</v>
      </c>
    </row>
    <row r="98" spans="1:9" x14ac:dyDescent="0.35">
      <c r="A98" s="1" t="s">
        <v>366</v>
      </c>
      <c r="B98" s="2">
        <v>41275</v>
      </c>
      <c r="C98">
        <v>16.27</v>
      </c>
      <c r="D98">
        <v>19.78</v>
      </c>
      <c r="E98">
        <v>19.82</v>
      </c>
      <c r="F98">
        <v>15.54</v>
      </c>
      <c r="G98" s="1" t="s">
        <v>428</v>
      </c>
      <c r="H98">
        <v>-0.14410000000000001</v>
      </c>
      <c r="I98" s="3">
        <f t="shared" si="1"/>
        <v>-3.1346035648432684E-2</v>
      </c>
    </row>
    <row r="99" spans="1:9" x14ac:dyDescent="0.35">
      <c r="A99" s="1" t="s">
        <v>366</v>
      </c>
      <c r="B99" s="2">
        <v>41306</v>
      </c>
      <c r="C99">
        <v>15.76</v>
      </c>
      <c r="D99">
        <v>16.399999999999999</v>
      </c>
      <c r="E99">
        <v>17.32</v>
      </c>
      <c r="F99">
        <v>15.63</v>
      </c>
      <c r="G99" s="1" t="s">
        <v>427</v>
      </c>
      <c r="H99">
        <v>-3.1300000000000001E-2</v>
      </c>
      <c r="I99" s="3">
        <f t="shared" si="1"/>
        <v>3.1725888324873547E-3</v>
      </c>
    </row>
    <row r="100" spans="1:9" x14ac:dyDescent="0.35">
      <c r="A100" s="1" t="s">
        <v>366</v>
      </c>
      <c r="B100" s="2">
        <v>41334</v>
      </c>
      <c r="C100">
        <v>15.81</v>
      </c>
      <c r="D100">
        <v>15.64</v>
      </c>
      <c r="E100">
        <v>16.78</v>
      </c>
      <c r="F100">
        <v>14.96</v>
      </c>
      <c r="G100" s="1" t="s">
        <v>426</v>
      </c>
      <c r="H100">
        <v>3.2000000000000002E-3</v>
      </c>
      <c r="I100" s="3">
        <f t="shared" si="1"/>
        <v>0</v>
      </c>
    </row>
    <row r="101" spans="1:9" x14ac:dyDescent="0.35">
      <c r="A101" s="1" t="s">
        <v>366</v>
      </c>
      <c r="B101" s="2">
        <v>41365</v>
      </c>
      <c r="C101">
        <v>15.81</v>
      </c>
      <c r="D101">
        <v>15.78</v>
      </c>
      <c r="E101">
        <v>15.9</v>
      </c>
      <c r="F101">
        <v>13.75</v>
      </c>
      <c r="G101" s="1" t="s">
        <v>425</v>
      </c>
      <c r="H101">
        <v>0</v>
      </c>
      <c r="I101" s="3">
        <f t="shared" si="1"/>
        <v>1.5812776723592551E-2</v>
      </c>
    </row>
    <row r="102" spans="1:9" x14ac:dyDescent="0.35">
      <c r="A102" s="1" t="s">
        <v>366</v>
      </c>
      <c r="B102" s="2">
        <v>41395</v>
      </c>
      <c r="C102">
        <v>16.059999999999999</v>
      </c>
      <c r="D102">
        <v>15.87</v>
      </c>
      <c r="E102">
        <v>16.63</v>
      </c>
      <c r="F102">
        <v>14.96</v>
      </c>
      <c r="G102" s="1" t="s">
        <v>424</v>
      </c>
      <c r="H102">
        <v>1.5800000000000002E-2</v>
      </c>
      <c r="I102" s="3">
        <f t="shared" si="1"/>
        <v>-0.11830635118306343</v>
      </c>
    </row>
    <row r="103" spans="1:9" x14ac:dyDescent="0.35">
      <c r="A103" s="1" t="s">
        <v>366</v>
      </c>
      <c r="B103" s="2">
        <v>41426</v>
      </c>
      <c r="C103">
        <v>14.16</v>
      </c>
      <c r="D103">
        <v>16.100000000000001</v>
      </c>
      <c r="E103">
        <v>16.23</v>
      </c>
      <c r="F103">
        <v>13.89</v>
      </c>
      <c r="G103" s="1" t="s">
        <v>423</v>
      </c>
      <c r="H103">
        <v>-0.1183</v>
      </c>
      <c r="I103" s="3">
        <f t="shared" si="1"/>
        <v>0.14124293785310735</v>
      </c>
    </row>
    <row r="104" spans="1:9" x14ac:dyDescent="0.35">
      <c r="A104" s="1" t="s">
        <v>366</v>
      </c>
      <c r="B104" s="2">
        <v>41456</v>
      </c>
      <c r="C104">
        <v>16.16</v>
      </c>
      <c r="D104">
        <v>14.38</v>
      </c>
      <c r="E104">
        <v>16.329999999999998</v>
      </c>
      <c r="F104">
        <v>14.33</v>
      </c>
      <c r="G104" s="1" t="s">
        <v>422</v>
      </c>
      <c r="H104">
        <v>0.14119999999999999</v>
      </c>
      <c r="I104" s="3">
        <f t="shared" si="1"/>
        <v>7.6732673267326634E-2</v>
      </c>
    </row>
    <row r="105" spans="1:9" x14ac:dyDescent="0.35">
      <c r="A105" s="1" t="s">
        <v>366</v>
      </c>
      <c r="B105" s="2">
        <v>41487</v>
      </c>
      <c r="C105">
        <v>17.399999999999999</v>
      </c>
      <c r="D105">
        <v>16.28</v>
      </c>
      <c r="E105">
        <v>18.350000000000001</v>
      </c>
      <c r="F105">
        <v>16.190000000000001</v>
      </c>
      <c r="G105" s="1" t="s">
        <v>421</v>
      </c>
      <c r="H105">
        <v>7.6700000000000004E-2</v>
      </c>
      <c r="I105" s="3">
        <f t="shared" si="1"/>
        <v>-2.1264367816091808E-2</v>
      </c>
    </row>
    <row r="106" spans="1:9" x14ac:dyDescent="0.35">
      <c r="A106" s="1" t="s">
        <v>366</v>
      </c>
      <c r="B106" s="2">
        <v>41518</v>
      </c>
      <c r="C106">
        <v>17.03</v>
      </c>
      <c r="D106">
        <v>17.61</v>
      </c>
      <c r="E106">
        <v>18.14</v>
      </c>
      <c r="F106">
        <v>15.97</v>
      </c>
      <c r="G106" s="1" t="s">
        <v>420</v>
      </c>
      <c r="H106">
        <v>-2.1299999999999999E-2</v>
      </c>
      <c r="I106" s="3">
        <f t="shared" si="1"/>
        <v>9.630064591896656E-2</v>
      </c>
    </row>
    <row r="107" spans="1:9" x14ac:dyDescent="0.35">
      <c r="A107" s="1" t="s">
        <v>366</v>
      </c>
      <c r="B107" s="2">
        <v>41548</v>
      </c>
      <c r="C107">
        <v>18.670000000000002</v>
      </c>
      <c r="D107">
        <v>17.09</v>
      </c>
      <c r="E107">
        <v>19.260000000000002</v>
      </c>
      <c r="F107">
        <v>17.079999999999998</v>
      </c>
      <c r="G107" s="1" t="s">
        <v>221</v>
      </c>
      <c r="H107">
        <v>9.6299999999999997E-2</v>
      </c>
      <c r="I107" s="3">
        <f t="shared" si="1"/>
        <v>6.3738618103909891E-2</v>
      </c>
    </row>
    <row r="108" spans="1:9" x14ac:dyDescent="0.35">
      <c r="A108" s="1" t="s">
        <v>366</v>
      </c>
      <c r="B108" s="2">
        <v>41579</v>
      </c>
      <c r="C108">
        <v>19.86</v>
      </c>
      <c r="D108">
        <v>18.71</v>
      </c>
      <c r="E108">
        <v>19.940000000000001</v>
      </c>
      <c r="F108">
        <v>18.3</v>
      </c>
      <c r="G108" s="1" t="s">
        <v>419</v>
      </c>
      <c r="H108">
        <v>6.3700000000000007E-2</v>
      </c>
      <c r="I108" s="3">
        <f t="shared" si="1"/>
        <v>9.0634441087613146E-3</v>
      </c>
    </row>
    <row r="109" spans="1:9" x14ac:dyDescent="0.35">
      <c r="A109" s="1" t="s">
        <v>366</v>
      </c>
      <c r="B109" s="2">
        <v>41609</v>
      </c>
      <c r="C109">
        <v>20.04</v>
      </c>
      <c r="D109">
        <v>19.93</v>
      </c>
      <c r="E109">
        <v>20.54</v>
      </c>
      <c r="F109">
        <v>19.239999999999998</v>
      </c>
      <c r="G109" s="1" t="s">
        <v>418</v>
      </c>
      <c r="H109">
        <v>9.1000000000000004E-3</v>
      </c>
      <c r="I109" s="3">
        <f t="shared" si="1"/>
        <v>-0.10778443113772457</v>
      </c>
    </row>
    <row r="110" spans="1:9" x14ac:dyDescent="0.35">
      <c r="A110" s="1" t="s">
        <v>366</v>
      </c>
      <c r="B110" s="2">
        <v>41640</v>
      </c>
      <c r="C110">
        <v>17.88</v>
      </c>
      <c r="D110">
        <v>19.850000000000001</v>
      </c>
      <c r="E110">
        <v>20.010000000000002</v>
      </c>
      <c r="F110">
        <v>17.63</v>
      </c>
      <c r="G110" s="1" t="s">
        <v>417</v>
      </c>
      <c r="H110">
        <v>-0.10780000000000001</v>
      </c>
      <c r="I110" s="3">
        <f t="shared" si="1"/>
        <v>5.0894854586129766E-2</v>
      </c>
    </row>
    <row r="111" spans="1:9" x14ac:dyDescent="0.35">
      <c r="A111" s="1" t="s">
        <v>366</v>
      </c>
      <c r="B111" s="2">
        <v>41671</v>
      </c>
      <c r="C111">
        <v>18.79</v>
      </c>
      <c r="D111">
        <v>17.95</v>
      </c>
      <c r="E111">
        <v>19.690000000000001</v>
      </c>
      <c r="F111">
        <v>17.829999999999998</v>
      </c>
      <c r="G111" s="1" t="s">
        <v>416</v>
      </c>
      <c r="H111">
        <v>5.0900000000000001E-2</v>
      </c>
      <c r="I111" s="3">
        <f t="shared" si="1"/>
        <v>2.0223523150612165E-2</v>
      </c>
    </row>
    <row r="112" spans="1:9" x14ac:dyDescent="0.35">
      <c r="A112" s="1" t="s">
        <v>366</v>
      </c>
      <c r="B112" s="2">
        <v>41699</v>
      </c>
      <c r="C112">
        <v>19.170000000000002</v>
      </c>
      <c r="D112">
        <v>18.690000000000001</v>
      </c>
      <c r="E112">
        <v>19.61</v>
      </c>
      <c r="F112">
        <v>18.670000000000002</v>
      </c>
      <c r="G112" s="1" t="s">
        <v>415</v>
      </c>
      <c r="H112">
        <v>2.0199999999999999E-2</v>
      </c>
      <c r="I112" s="3">
        <f t="shared" si="1"/>
        <v>9.9113197704746914E-2</v>
      </c>
    </row>
    <row r="113" spans="1:9" x14ac:dyDescent="0.35">
      <c r="A113" s="1" t="s">
        <v>366</v>
      </c>
      <c r="B113" s="2">
        <v>41730</v>
      </c>
      <c r="C113">
        <v>21.07</v>
      </c>
      <c r="D113">
        <v>19.21</v>
      </c>
      <c r="E113">
        <v>21.41</v>
      </c>
      <c r="F113">
        <v>18.260000000000002</v>
      </c>
      <c r="G113" s="1" t="s">
        <v>414</v>
      </c>
      <c r="H113">
        <v>9.9099999999999994E-2</v>
      </c>
      <c r="I113" s="3">
        <f t="shared" si="1"/>
        <v>7.3089700996677706E-2</v>
      </c>
    </row>
    <row r="114" spans="1:9" x14ac:dyDescent="0.35">
      <c r="A114" s="1" t="s">
        <v>366</v>
      </c>
      <c r="B114" s="2">
        <v>41760</v>
      </c>
      <c r="C114">
        <v>22.61</v>
      </c>
      <c r="D114">
        <v>21.14</v>
      </c>
      <c r="E114">
        <v>23.01</v>
      </c>
      <c r="F114">
        <v>20.73</v>
      </c>
      <c r="G114" s="1" t="s">
        <v>413</v>
      </c>
      <c r="H114">
        <v>7.3099999999999998E-2</v>
      </c>
      <c r="I114" s="3">
        <f t="shared" si="1"/>
        <v>2.7421494913755021E-2</v>
      </c>
    </row>
    <row r="115" spans="1:9" x14ac:dyDescent="0.35">
      <c r="A115" s="1" t="s">
        <v>366</v>
      </c>
      <c r="B115" s="2">
        <v>41791</v>
      </c>
      <c r="C115">
        <v>23.23</v>
      </c>
      <c r="D115">
        <v>22.64</v>
      </c>
      <c r="E115">
        <v>23.76</v>
      </c>
      <c r="F115">
        <v>22.23</v>
      </c>
      <c r="G115" s="1" t="s">
        <v>404</v>
      </c>
      <c r="H115">
        <v>2.7400000000000001E-2</v>
      </c>
      <c r="I115" s="3">
        <f t="shared" si="1"/>
        <v>2.8842014636246152E-2</v>
      </c>
    </row>
    <row r="116" spans="1:9" x14ac:dyDescent="0.35">
      <c r="A116" s="1" t="s">
        <v>366</v>
      </c>
      <c r="B116" s="2">
        <v>41821</v>
      </c>
      <c r="C116">
        <v>23.9</v>
      </c>
      <c r="D116">
        <v>23.38</v>
      </c>
      <c r="E116">
        <v>24.86</v>
      </c>
      <c r="F116">
        <v>23.14</v>
      </c>
      <c r="G116" s="1" t="s">
        <v>220</v>
      </c>
      <c r="H116">
        <v>2.8799999999999999E-2</v>
      </c>
      <c r="I116" s="3">
        <f t="shared" si="1"/>
        <v>7.1966527196652821E-2</v>
      </c>
    </row>
    <row r="117" spans="1:9" x14ac:dyDescent="0.35">
      <c r="A117" s="1" t="s">
        <v>366</v>
      </c>
      <c r="B117" s="2">
        <v>41852</v>
      </c>
      <c r="C117">
        <v>25.62</v>
      </c>
      <c r="D117">
        <v>23.73</v>
      </c>
      <c r="E117">
        <v>25.73</v>
      </c>
      <c r="F117">
        <v>23.32</v>
      </c>
      <c r="G117" s="1" t="s">
        <v>412</v>
      </c>
      <c r="H117">
        <v>7.1999999999999995E-2</v>
      </c>
      <c r="I117" s="3">
        <f t="shared" si="1"/>
        <v>-1.6783762685402017E-2</v>
      </c>
    </row>
    <row r="118" spans="1:9" x14ac:dyDescent="0.35">
      <c r="A118" s="1" t="s">
        <v>366</v>
      </c>
      <c r="B118" s="2">
        <v>41883</v>
      </c>
      <c r="C118">
        <v>25.19</v>
      </c>
      <c r="D118">
        <v>25.77</v>
      </c>
      <c r="E118">
        <v>25.93</v>
      </c>
      <c r="F118">
        <v>24.04</v>
      </c>
      <c r="G118" s="1" t="s">
        <v>411</v>
      </c>
      <c r="H118">
        <v>-1.6799999999999999E-2</v>
      </c>
      <c r="I118" s="3">
        <f t="shared" si="1"/>
        <v>7.1853910281857822E-2</v>
      </c>
    </row>
    <row r="119" spans="1:9" x14ac:dyDescent="0.35">
      <c r="A119" s="1" t="s">
        <v>366</v>
      </c>
      <c r="B119" s="2">
        <v>41913</v>
      </c>
      <c r="C119">
        <v>27</v>
      </c>
      <c r="D119">
        <v>25.15</v>
      </c>
      <c r="E119">
        <v>27.01</v>
      </c>
      <c r="F119">
        <v>23.8</v>
      </c>
      <c r="G119" s="1" t="s">
        <v>410</v>
      </c>
      <c r="H119">
        <v>7.1900000000000006E-2</v>
      </c>
      <c r="I119" s="3">
        <f t="shared" si="1"/>
        <v>0.10111111111111112</v>
      </c>
    </row>
    <row r="120" spans="1:9" x14ac:dyDescent="0.35">
      <c r="A120" s="1" t="s">
        <v>366</v>
      </c>
      <c r="B120" s="2">
        <v>41944</v>
      </c>
      <c r="C120">
        <v>29.73</v>
      </c>
      <c r="D120">
        <v>27.05</v>
      </c>
      <c r="E120">
        <v>29.94</v>
      </c>
      <c r="F120">
        <v>26.93</v>
      </c>
      <c r="G120" s="1" t="s">
        <v>261</v>
      </c>
      <c r="H120">
        <v>0.1011</v>
      </c>
      <c r="I120" s="3">
        <f t="shared" si="1"/>
        <v>-7.1981163807601764E-2</v>
      </c>
    </row>
    <row r="121" spans="1:9" x14ac:dyDescent="0.35">
      <c r="A121" s="1" t="s">
        <v>366</v>
      </c>
      <c r="B121" s="2">
        <v>41974</v>
      </c>
      <c r="C121">
        <v>27.59</v>
      </c>
      <c r="D121">
        <v>29.7</v>
      </c>
      <c r="E121">
        <v>29.81</v>
      </c>
      <c r="F121">
        <v>26.57</v>
      </c>
      <c r="G121" s="1" t="s">
        <v>409</v>
      </c>
      <c r="H121">
        <v>-7.1999999999999995E-2</v>
      </c>
      <c r="I121" s="3">
        <f t="shared" si="1"/>
        <v>6.1616527727437455E-2</v>
      </c>
    </row>
    <row r="122" spans="1:9" x14ac:dyDescent="0.35">
      <c r="A122" s="1" t="s">
        <v>366</v>
      </c>
      <c r="B122" s="2">
        <v>42005</v>
      </c>
      <c r="C122">
        <v>29.29</v>
      </c>
      <c r="D122">
        <v>27.85</v>
      </c>
      <c r="E122">
        <v>30</v>
      </c>
      <c r="F122">
        <v>26.16</v>
      </c>
      <c r="G122" s="1" t="s">
        <v>408</v>
      </c>
      <c r="H122">
        <v>6.1600000000000002E-2</v>
      </c>
      <c r="I122" s="3">
        <f t="shared" si="1"/>
        <v>9.6620006828268976E-2</v>
      </c>
    </row>
    <row r="123" spans="1:9" x14ac:dyDescent="0.35">
      <c r="A123" s="1" t="s">
        <v>366</v>
      </c>
      <c r="B123" s="2">
        <v>42036</v>
      </c>
      <c r="C123">
        <v>32.119999999999997</v>
      </c>
      <c r="D123">
        <v>29.51</v>
      </c>
      <c r="E123">
        <v>33.4</v>
      </c>
      <c r="F123">
        <v>29.02</v>
      </c>
      <c r="G123" s="1" t="s">
        <v>327</v>
      </c>
      <c r="H123">
        <v>9.6600000000000005E-2</v>
      </c>
      <c r="I123" s="3">
        <f t="shared" si="1"/>
        <v>-3.1444582814445766E-2</v>
      </c>
    </row>
    <row r="124" spans="1:9" x14ac:dyDescent="0.35">
      <c r="A124" s="1" t="s">
        <v>366</v>
      </c>
      <c r="B124" s="2">
        <v>42064</v>
      </c>
      <c r="C124">
        <v>31.11</v>
      </c>
      <c r="D124">
        <v>32.31</v>
      </c>
      <c r="E124">
        <v>32.57</v>
      </c>
      <c r="F124">
        <v>30.41</v>
      </c>
      <c r="G124" s="1" t="s">
        <v>327</v>
      </c>
      <c r="H124">
        <v>-3.1399999999999997E-2</v>
      </c>
      <c r="I124" s="3">
        <f t="shared" si="1"/>
        <v>5.785920925747339E-3</v>
      </c>
    </row>
    <row r="125" spans="1:9" x14ac:dyDescent="0.35">
      <c r="A125" s="1" t="s">
        <v>366</v>
      </c>
      <c r="B125" s="2">
        <v>42095</v>
      </c>
      <c r="C125">
        <v>31.29</v>
      </c>
      <c r="D125">
        <v>31.2</v>
      </c>
      <c r="E125">
        <v>33.630000000000003</v>
      </c>
      <c r="F125">
        <v>30.77</v>
      </c>
      <c r="G125" s="1" t="s">
        <v>407</v>
      </c>
      <c r="H125">
        <v>5.7999999999999996E-3</v>
      </c>
      <c r="I125" s="3">
        <f t="shared" si="1"/>
        <v>4.0907638223074499E-2</v>
      </c>
    </row>
    <row r="126" spans="1:9" x14ac:dyDescent="0.35">
      <c r="A126" s="1" t="s">
        <v>366</v>
      </c>
      <c r="B126" s="2">
        <v>42125</v>
      </c>
      <c r="C126">
        <v>32.57</v>
      </c>
      <c r="D126">
        <v>31.52</v>
      </c>
      <c r="E126">
        <v>33.24</v>
      </c>
      <c r="F126">
        <v>30.84</v>
      </c>
      <c r="G126" s="1" t="s">
        <v>406</v>
      </c>
      <c r="H126">
        <v>4.0899999999999999E-2</v>
      </c>
      <c r="I126" s="3">
        <f t="shared" si="1"/>
        <v>-3.7150752225974852E-2</v>
      </c>
    </row>
    <row r="127" spans="1:9" x14ac:dyDescent="0.35">
      <c r="A127" s="1" t="s">
        <v>366</v>
      </c>
      <c r="B127" s="2">
        <v>42156</v>
      </c>
      <c r="C127">
        <v>31.36</v>
      </c>
      <c r="D127">
        <v>32.799999999999997</v>
      </c>
      <c r="E127">
        <v>32.85</v>
      </c>
      <c r="F127">
        <v>31.12</v>
      </c>
      <c r="G127" s="1" t="s">
        <v>313</v>
      </c>
      <c r="H127">
        <v>-3.7199999999999997E-2</v>
      </c>
      <c r="I127" s="3">
        <f t="shared" si="1"/>
        <v>-3.3163265306122423E-2</v>
      </c>
    </row>
    <row r="128" spans="1:9" x14ac:dyDescent="0.35">
      <c r="A128" s="1" t="s">
        <v>366</v>
      </c>
      <c r="B128" s="2">
        <v>42186</v>
      </c>
      <c r="C128">
        <v>30.32</v>
      </c>
      <c r="D128">
        <v>31.73</v>
      </c>
      <c r="E128">
        <v>33.24</v>
      </c>
      <c r="F128">
        <v>29.8</v>
      </c>
      <c r="G128" s="1" t="s">
        <v>339</v>
      </c>
      <c r="H128">
        <v>-3.32E-2</v>
      </c>
      <c r="I128" s="3">
        <f t="shared" si="1"/>
        <v>-7.0250659630606824E-2</v>
      </c>
    </row>
    <row r="129" spans="1:9" x14ac:dyDescent="0.35">
      <c r="A129" s="1" t="s">
        <v>366</v>
      </c>
      <c r="B129" s="2">
        <v>42217</v>
      </c>
      <c r="C129">
        <v>28.19</v>
      </c>
      <c r="D129">
        <v>30.38</v>
      </c>
      <c r="E129">
        <v>30.64</v>
      </c>
      <c r="F129">
        <v>23</v>
      </c>
      <c r="G129" s="1" t="s">
        <v>405</v>
      </c>
      <c r="H129">
        <v>-7.0300000000000001E-2</v>
      </c>
      <c r="I129" s="3">
        <f t="shared" si="1"/>
        <v>-2.1993614757006064E-2</v>
      </c>
    </row>
    <row r="130" spans="1:9" x14ac:dyDescent="0.35">
      <c r="A130" s="1" t="s">
        <v>366</v>
      </c>
      <c r="B130" s="2">
        <v>42248</v>
      </c>
      <c r="C130">
        <v>27.57</v>
      </c>
      <c r="D130">
        <v>27.54</v>
      </c>
      <c r="E130">
        <v>29.22</v>
      </c>
      <c r="F130">
        <v>26.84</v>
      </c>
      <c r="G130" s="1" t="s">
        <v>404</v>
      </c>
      <c r="H130">
        <v>-2.1999999999999999E-2</v>
      </c>
      <c r="I130" s="3">
        <f t="shared" ref="I130:I193" si="2">IF(A131=A130, (C131-C130)/C130, 0)</f>
        <v>8.378672470076165E-2</v>
      </c>
    </row>
    <row r="131" spans="1:9" x14ac:dyDescent="0.35">
      <c r="A131" s="1" t="s">
        <v>366</v>
      </c>
      <c r="B131" s="2">
        <v>42278</v>
      </c>
      <c r="C131">
        <v>29.88</v>
      </c>
      <c r="D131">
        <v>27.27</v>
      </c>
      <c r="E131">
        <v>30.3</v>
      </c>
      <c r="F131">
        <v>26.83</v>
      </c>
      <c r="G131" s="1" t="s">
        <v>403</v>
      </c>
      <c r="H131">
        <v>8.3799999999999999E-2</v>
      </c>
      <c r="I131" s="3">
        <f t="shared" si="2"/>
        <v>-1.0374832663989248E-2</v>
      </c>
    </row>
    <row r="132" spans="1:9" x14ac:dyDescent="0.35">
      <c r="A132" s="1" t="s">
        <v>366</v>
      </c>
      <c r="B132" s="2">
        <v>42309</v>
      </c>
      <c r="C132">
        <v>29.57</v>
      </c>
      <c r="D132">
        <v>29.97</v>
      </c>
      <c r="E132">
        <v>30.95</v>
      </c>
      <c r="F132">
        <v>27.75</v>
      </c>
      <c r="G132" s="1" t="s">
        <v>402</v>
      </c>
      <c r="H132">
        <v>-1.04E-2</v>
      </c>
      <c r="I132" s="3">
        <f t="shared" si="2"/>
        <v>-0.10990869124112276</v>
      </c>
    </row>
    <row r="133" spans="1:9" x14ac:dyDescent="0.35">
      <c r="A133" s="1" t="s">
        <v>366</v>
      </c>
      <c r="B133" s="2">
        <v>42339</v>
      </c>
      <c r="C133">
        <v>26.32</v>
      </c>
      <c r="D133">
        <v>29.69</v>
      </c>
      <c r="E133">
        <v>29.96</v>
      </c>
      <c r="F133">
        <v>26.2</v>
      </c>
      <c r="G133" s="1" t="s">
        <v>361</v>
      </c>
      <c r="H133">
        <v>-0.1099</v>
      </c>
      <c r="I133" s="3">
        <f t="shared" si="2"/>
        <v>-7.5227963525835884E-2</v>
      </c>
    </row>
    <row r="134" spans="1:9" x14ac:dyDescent="0.35">
      <c r="A134" s="1" t="s">
        <v>366</v>
      </c>
      <c r="B134" s="2">
        <v>42370</v>
      </c>
      <c r="C134">
        <v>24.34</v>
      </c>
      <c r="D134">
        <v>25.65</v>
      </c>
      <c r="E134">
        <v>26.46</v>
      </c>
      <c r="F134">
        <v>23.1</v>
      </c>
      <c r="G134" s="1" t="s">
        <v>222</v>
      </c>
      <c r="H134">
        <v>-7.5200000000000003E-2</v>
      </c>
      <c r="I134" s="3">
        <f t="shared" si="2"/>
        <v>-6.9843878389481574E-3</v>
      </c>
    </row>
    <row r="135" spans="1:9" x14ac:dyDescent="0.35">
      <c r="A135" s="1" t="s">
        <v>366</v>
      </c>
      <c r="B135" s="2">
        <v>42401</v>
      </c>
      <c r="C135">
        <v>24.17</v>
      </c>
      <c r="D135">
        <v>24.12</v>
      </c>
      <c r="E135">
        <v>24.72</v>
      </c>
      <c r="F135">
        <v>23.15</v>
      </c>
      <c r="G135" s="1" t="s">
        <v>389</v>
      </c>
      <c r="H135">
        <v>-7.0000000000000001E-3</v>
      </c>
      <c r="I135" s="3">
        <f t="shared" si="2"/>
        <v>0.12743069921390146</v>
      </c>
    </row>
    <row r="136" spans="1:9" x14ac:dyDescent="0.35">
      <c r="A136" s="1" t="s">
        <v>366</v>
      </c>
      <c r="B136" s="2">
        <v>42430</v>
      </c>
      <c r="C136">
        <v>27.25</v>
      </c>
      <c r="D136">
        <v>24.41</v>
      </c>
      <c r="E136">
        <v>27.61</v>
      </c>
      <c r="F136">
        <v>24.36</v>
      </c>
      <c r="G136" s="1" t="s">
        <v>334</v>
      </c>
      <c r="H136">
        <v>0.12740000000000001</v>
      </c>
      <c r="I136" s="3">
        <f t="shared" si="2"/>
        <v>-0.14018348623853211</v>
      </c>
    </row>
    <row r="137" spans="1:9" x14ac:dyDescent="0.35">
      <c r="A137" s="1" t="s">
        <v>366</v>
      </c>
      <c r="B137" s="2">
        <v>42461</v>
      </c>
      <c r="C137">
        <v>23.43</v>
      </c>
      <c r="D137">
        <v>27.2</v>
      </c>
      <c r="E137">
        <v>28.1</v>
      </c>
      <c r="F137">
        <v>23.13</v>
      </c>
      <c r="G137" s="1" t="s">
        <v>401</v>
      </c>
      <c r="H137">
        <v>-0.14019999999999999</v>
      </c>
      <c r="I137" s="3">
        <f t="shared" si="2"/>
        <v>6.5300896286811835E-2</v>
      </c>
    </row>
    <row r="138" spans="1:9" x14ac:dyDescent="0.35">
      <c r="A138" s="1" t="s">
        <v>366</v>
      </c>
      <c r="B138" s="2">
        <v>42491</v>
      </c>
      <c r="C138">
        <v>24.96</v>
      </c>
      <c r="D138">
        <v>23.49</v>
      </c>
      <c r="E138">
        <v>25.18</v>
      </c>
      <c r="F138">
        <v>22.37</v>
      </c>
      <c r="G138" s="1" t="s">
        <v>342</v>
      </c>
      <c r="H138">
        <v>6.5299999999999997E-2</v>
      </c>
      <c r="I138" s="3">
        <f t="shared" si="2"/>
        <v>-4.246794871794881E-2</v>
      </c>
    </row>
    <row r="139" spans="1:9" x14ac:dyDescent="0.35">
      <c r="A139" s="1" t="s">
        <v>366</v>
      </c>
      <c r="B139" s="2">
        <v>42522</v>
      </c>
      <c r="C139">
        <v>23.9</v>
      </c>
      <c r="D139">
        <v>24.75</v>
      </c>
      <c r="E139">
        <v>25.47</v>
      </c>
      <c r="F139">
        <v>22.88</v>
      </c>
      <c r="G139" s="1" t="s">
        <v>400</v>
      </c>
      <c r="H139">
        <v>-4.2500000000000003E-2</v>
      </c>
      <c r="I139" s="3">
        <f t="shared" si="2"/>
        <v>8.9958158995815996E-2</v>
      </c>
    </row>
    <row r="140" spans="1:9" x14ac:dyDescent="0.35">
      <c r="A140" s="1" t="s">
        <v>366</v>
      </c>
      <c r="B140" s="2">
        <v>42552</v>
      </c>
      <c r="C140">
        <v>26.05</v>
      </c>
      <c r="D140">
        <v>23.87</v>
      </c>
      <c r="E140">
        <v>26.14</v>
      </c>
      <c r="F140">
        <v>23.59</v>
      </c>
      <c r="G140" s="1" t="s">
        <v>397</v>
      </c>
      <c r="H140">
        <v>0.09</v>
      </c>
      <c r="I140" s="3">
        <f t="shared" si="2"/>
        <v>1.804222648752395E-2</v>
      </c>
    </row>
    <row r="141" spans="1:9" x14ac:dyDescent="0.35">
      <c r="A141" s="1" t="s">
        <v>366</v>
      </c>
      <c r="B141" s="2">
        <v>42583</v>
      </c>
      <c r="C141">
        <v>26.52</v>
      </c>
      <c r="D141">
        <v>26.1</v>
      </c>
      <c r="E141">
        <v>27.56</v>
      </c>
      <c r="F141">
        <v>26</v>
      </c>
      <c r="G141" s="1" t="s">
        <v>399</v>
      </c>
      <c r="H141">
        <v>1.7999999999999999E-2</v>
      </c>
      <c r="I141" s="3">
        <f t="shared" si="2"/>
        <v>6.561085972850686E-2</v>
      </c>
    </row>
    <row r="142" spans="1:9" x14ac:dyDescent="0.35">
      <c r="A142" s="1" t="s">
        <v>366</v>
      </c>
      <c r="B142" s="2">
        <v>42614</v>
      </c>
      <c r="C142">
        <v>28.26</v>
      </c>
      <c r="D142">
        <v>26.54</v>
      </c>
      <c r="E142">
        <v>29.05</v>
      </c>
      <c r="F142">
        <v>25.63</v>
      </c>
      <c r="G142" s="1" t="s">
        <v>217</v>
      </c>
      <c r="H142">
        <v>6.5600000000000006E-2</v>
      </c>
      <c r="I142" s="3">
        <f t="shared" si="2"/>
        <v>4.6001415428166669E-3</v>
      </c>
    </row>
    <row r="143" spans="1:9" x14ac:dyDescent="0.35">
      <c r="A143" s="1" t="s">
        <v>366</v>
      </c>
      <c r="B143" s="2">
        <v>42644</v>
      </c>
      <c r="C143">
        <v>28.39</v>
      </c>
      <c r="D143">
        <v>28.18</v>
      </c>
      <c r="E143">
        <v>29.67</v>
      </c>
      <c r="F143">
        <v>28.07</v>
      </c>
      <c r="G143" s="1" t="s">
        <v>325</v>
      </c>
      <c r="H143">
        <v>4.5999999999999999E-3</v>
      </c>
      <c r="I143" s="3">
        <f t="shared" si="2"/>
        <v>-2.6769989432898964E-2</v>
      </c>
    </row>
    <row r="144" spans="1:9" x14ac:dyDescent="0.35">
      <c r="A144" s="1" t="s">
        <v>366</v>
      </c>
      <c r="B144" s="2">
        <v>42675</v>
      </c>
      <c r="C144">
        <v>27.63</v>
      </c>
      <c r="D144">
        <v>28.36</v>
      </c>
      <c r="E144">
        <v>28.44</v>
      </c>
      <c r="F144">
        <v>26.02</v>
      </c>
      <c r="G144" s="1" t="s">
        <v>398</v>
      </c>
      <c r="H144">
        <v>-2.6800000000000001E-2</v>
      </c>
      <c r="I144" s="3">
        <f t="shared" si="2"/>
        <v>4.7774158523344205E-2</v>
      </c>
    </row>
    <row r="145" spans="1:9" x14ac:dyDescent="0.35">
      <c r="A145" s="1" t="s">
        <v>366</v>
      </c>
      <c r="B145" s="2">
        <v>42705</v>
      </c>
      <c r="C145">
        <v>28.95</v>
      </c>
      <c r="D145">
        <v>27.59</v>
      </c>
      <c r="E145">
        <v>29.5</v>
      </c>
      <c r="F145">
        <v>27.06</v>
      </c>
      <c r="G145" s="1" t="s">
        <v>353</v>
      </c>
      <c r="H145">
        <v>4.7800000000000002E-2</v>
      </c>
      <c r="I145" s="3">
        <f t="shared" si="2"/>
        <v>4.8013816925734046E-2</v>
      </c>
    </row>
    <row r="146" spans="1:9" x14ac:dyDescent="0.35">
      <c r="A146" s="1" t="s">
        <v>366</v>
      </c>
      <c r="B146" s="2">
        <v>42736</v>
      </c>
      <c r="C146">
        <v>30.34</v>
      </c>
      <c r="D146">
        <v>28.95</v>
      </c>
      <c r="E146">
        <v>30.61</v>
      </c>
      <c r="F146">
        <v>28.69</v>
      </c>
      <c r="G146" s="1" t="s">
        <v>323</v>
      </c>
      <c r="H146">
        <v>4.8000000000000001E-2</v>
      </c>
      <c r="I146" s="3">
        <f t="shared" si="2"/>
        <v>0.12887277521423862</v>
      </c>
    </row>
    <row r="147" spans="1:9" x14ac:dyDescent="0.35">
      <c r="A147" s="1" t="s">
        <v>366</v>
      </c>
      <c r="B147" s="2">
        <v>42767</v>
      </c>
      <c r="C147">
        <v>34.25</v>
      </c>
      <c r="D147">
        <v>31.76</v>
      </c>
      <c r="E147">
        <v>34.369999999999997</v>
      </c>
      <c r="F147">
        <v>31.75</v>
      </c>
      <c r="G147" s="1" t="s">
        <v>352</v>
      </c>
      <c r="H147">
        <v>0.12889999999999999</v>
      </c>
      <c r="I147" s="3">
        <f t="shared" si="2"/>
        <v>4.8467153284671431E-2</v>
      </c>
    </row>
    <row r="148" spans="1:9" x14ac:dyDescent="0.35">
      <c r="A148" s="1" t="s">
        <v>366</v>
      </c>
      <c r="B148" s="2">
        <v>42795</v>
      </c>
      <c r="C148">
        <v>35.909999999999997</v>
      </c>
      <c r="D148">
        <v>34.47</v>
      </c>
      <c r="E148">
        <v>36.119999999999997</v>
      </c>
      <c r="F148">
        <v>34.26</v>
      </c>
      <c r="G148" s="1" t="s">
        <v>323</v>
      </c>
      <c r="H148">
        <v>4.8500000000000001E-2</v>
      </c>
      <c r="I148" s="3">
        <f t="shared" si="2"/>
        <v>0</v>
      </c>
    </row>
    <row r="149" spans="1:9" x14ac:dyDescent="0.35">
      <c r="A149" s="1" t="s">
        <v>366</v>
      </c>
      <c r="B149" s="2">
        <v>42826</v>
      </c>
      <c r="C149">
        <v>35.909999999999997</v>
      </c>
      <c r="D149">
        <v>35.93</v>
      </c>
      <c r="E149">
        <v>36.369999999999997</v>
      </c>
      <c r="F149">
        <v>35.020000000000003</v>
      </c>
      <c r="G149" s="1" t="s">
        <v>265</v>
      </c>
      <c r="H149">
        <v>0</v>
      </c>
      <c r="I149" s="3">
        <f t="shared" si="2"/>
        <v>6.349206349206353E-2</v>
      </c>
    </row>
    <row r="150" spans="1:9" x14ac:dyDescent="0.35">
      <c r="A150" s="1" t="s">
        <v>366</v>
      </c>
      <c r="B150" s="2">
        <v>42856</v>
      </c>
      <c r="C150">
        <v>38.19</v>
      </c>
      <c r="D150">
        <v>36.270000000000003</v>
      </c>
      <c r="E150">
        <v>39.159999999999997</v>
      </c>
      <c r="F150">
        <v>36.07</v>
      </c>
      <c r="G150" s="1" t="s">
        <v>311</v>
      </c>
      <c r="H150">
        <v>6.3500000000000001E-2</v>
      </c>
      <c r="I150" s="3">
        <f t="shared" si="2"/>
        <v>-5.7083006022518978E-2</v>
      </c>
    </row>
    <row r="151" spans="1:9" x14ac:dyDescent="0.35">
      <c r="A151" s="1" t="s">
        <v>366</v>
      </c>
      <c r="B151" s="2">
        <v>42887</v>
      </c>
      <c r="C151">
        <v>36.01</v>
      </c>
      <c r="D151">
        <v>38.29</v>
      </c>
      <c r="E151">
        <v>38.99</v>
      </c>
      <c r="F151">
        <v>35.549999999999997</v>
      </c>
      <c r="G151" s="1" t="s">
        <v>397</v>
      </c>
      <c r="H151">
        <v>-5.7099999999999998E-2</v>
      </c>
      <c r="I151" s="3">
        <f t="shared" si="2"/>
        <v>3.249097472924193E-2</v>
      </c>
    </row>
    <row r="152" spans="1:9" x14ac:dyDescent="0.35">
      <c r="A152" s="1" t="s">
        <v>366</v>
      </c>
      <c r="B152" s="2">
        <v>42917</v>
      </c>
      <c r="C152">
        <v>37.18</v>
      </c>
      <c r="D152">
        <v>36.22</v>
      </c>
      <c r="E152">
        <v>38.5</v>
      </c>
      <c r="F152">
        <v>35.6</v>
      </c>
      <c r="G152" s="1" t="s">
        <v>247</v>
      </c>
      <c r="H152">
        <v>3.2500000000000001E-2</v>
      </c>
      <c r="I152" s="3">
        <f t="shared" si="2"/>
        <v>0.10274341043571814</v>
      </c>
    </row>
    <row r="153" spans="1:9" x14ac:dyDescent="0.35">
      <c r="A153" s="1" t="s">
        <v>366</v>
      </c>
      <c r="B153" s="2">
        <v>42948</v>
      </c>
      <c r="C153">
        <v>41</v>
      </c>
      <c r="D153">
        <v>37.270000000000003</v>
      </c>
      <c r="E153">
        <v>41.13</v>
      </c>
      <c r="F153">
        <v>37.1</v>
      </c>
      <c r="G153" s="1" t="s">
        <v>396</v>
      </c>
      <c r="H153">
        <v>0.1027</v>
      </c>
      <c r="I153" s="3">
        <f t="shared" si="2"/>
        <v>-6.024390243902436E-2</v>
      </c>
    </row>
    <row r="154" spans="1:9" x14ac:dyDescent="0.35">
      <c r="A154" s="1" t="s">
        <v>366</v>
      </c>
      <c r="B154" s="2">
        <v>42979</v>
      </c>
      <c r="C154">
        <v>38.53</v>
      </c>
      <c r="D154">
        <v>41.2</v>
      </c>
      <c r="E154">
        <v>41.23</v>
      </c>
      <c r="F154">
        <v>37.29</v>
      </c>
      <c r="G154" s="1" t="s">
        <v>395</v>
      </c>
      <c r="H154">
        <v>-6.0199999999999997E-2</v>
      </c>
      <c r="I154" s="3">
        <f t="shared" si="2"/>
        <v>9.6807682325460595E-2</v>
      </c>
    </row>
    <row r="155" spans="1:9" x14ac:dyDescent="0.35">
      <c r="A155" s="1" t="s">
        <v>366</v>
      </c>
      <c r="B155" s="2">
        <v>43009</v>
      </c>
      <c r="C155">
        <v>42.26</v>
      </c>
      <c r="D155">
        <v>38.56</v>
      </c>
      <c r="E155">
        <v>42.41</v>
      </c>
      <c r="F155">
        <v>38.119999999999997</v>
      </c>
      <c r="G155" s="1" t="s">
        <v>267</v>
      </c>
      <c r="H155">
        <v>9.6799999999999997E-2</v>
      </c>
      <c r="I155" s="3">
        <f t="shared" si="2"/>
        <v>1.6564126833885539E-2</v>
      </c>
    </row>
    <row r="156" spans="1:9" x14ac:dyDescent="0.35">
      <c r="A156" s="1" t="s">
        <v>366</v>
      </c>
      <c r="B156" s="2">
        <v>43040</v>
      </c>
      <c r="C156">
        <v>42.96</v>
      </c>
      <c r="D156">
        <v>42.47</v>
      </c>
      <c r="E156">
        <v>44.06</v>
      </c>
      <c r="F156">
        <v>41.32</v>
      </c>
      <c r="G156" s="1" t="s">
        <v>363</v>
      </c>
      <c r="H156">
        <v>1.66E-2</v>
      </c>
      <c r="I156" s="3">
        <f t="shared" si="2"/>
        <v>-1.5130353817504622E-2</v>
      </c>
    </row>
    <row r="157" spans="1:9" x14ac:dyDescent="0.35">
      <c r="A157" s="1" t="s">
        <v>366</v>
      </c>
      <c r="B157" s="2">
        <v>43070</v>
      </c>
      <c r="C157">
        <v>42.31</v>
      </c>
      <c r="D157">
        <v>42.49</v>
      </c>
      <c r="E157">
        <v>44.3</v>
      </c>
      <c r="F157">
        <v>41.62</v>
      </c>
      <c r="G157" s="1" t="s">
        <v>384</v>
      </c>
      <c r="H157">
        <v>-1.5100000000000001E-2</v>
      </c>
      <c r="I157" s="3">
        <f t="shared" si="2"/>
        <v>-1.0635783502718101E-2</v>
      </c>
    </row>
    <row r="158" spans="1:9" x14ac:dyDescent="0.35">
      <c r="A158" s="1" t="s">
        <v>366</v>
      </c>
      <c r="B158" s="2">
        <v>43101</v>
      </c>
      <c r="C158">
        <v>41.86</v>
      </c>
      <c r="D158">
        <v>42.54</v>
      </c>
      <c r="E158">
        <v>45.02</v>
      </c>
      <c r="F158">
        <v>41.17</v>
      </c>
      <c r="G158" s="1" t="s">
        <v>396</v>
      </c>
      <c r="H158">
        <v>-1.06E-2</v>
      </c>
      <c r="I158" s="3">
        <f t="shared" si="2"/>
        <v>6.3784042044911657E-2</v>
      </c>
    </row>
    <row r="159" spans="1:9" x14ac:dyDescent="0.35">
      <c r="A159" s="1" t="s">
        <v>366</v>
      </c>
      <c r="B159" s="2">
        <v>43132</v>
      </c>
      <c r="C159">
        <v>44.53</v>
      </c>
      <c r="D159">
        <v>41.79</v>
      </c>
      <c r="E159">
        <v>45.15</v>
      </c>
      <c r="F159">
        <v>37.56</v>
      </c>
      <c r="G159" s="1" t="s">
        <v>211</v>
      </c>
      <c r="H159">
        <v>6.3799999999999996E-2</v>
      </c>
      <c r="I159" s="3">
        <f t="shared" si="2"/>
        <v>-5.7938468448237107E-2</v>
      </c>
    </row>
    <row r="160" spans="1:9" x14ac:dyDescent="0.35">
      <c r="A160" s="1" t="s">
        <v>366</v>
      </c>
      <c r="B160" s="2">
        <v>43160</v>
      </c>
      <c r="C160">
        <v>41.95</v>
      </c>
      <c r="D160">
        <v>44.63</v>
      </c>
      <c r="E160">
        <v>45.88</v>
      </c>
      <c r="F160">
        <v>41.23</v>
      </c>
      <c r="G160" s="1" t="s">
        <v>209</v>
      </c>
      <c r="H160">
        <v>-5.79E-2</v>
      </c>
      <c r="I160" s="3">
        <f t="shared" si="2"/>
        <v>-1.525625744934447E-2</v>
      </c>
    </row>
    <row r="161" spans="1:9" x14ac:dyDescent="0.35">
      <c r="A161" s="1" t="s">
        <v>366</v>
      </c>
      <c r="B161" s="2">
        <v>43191</v>
      </c>
      <c r="C161">
        <v>41.31</v>
      </c>
      <c r="D161">
        <v>41.97</v>
      </c>
      <c r="E161">
        <v>44.73</v>
      </c>
      <c r="F161">
        <v>40.159999999999997</v>
      </c>
      <c r="G161" s="1" t="s">
        <v>314</v>
      </c>
      <c r="H161">
        <v>-1.5299999999999999E-2</v>
      </c>
      <c r="I161" s="3">
        <f t="shared" si="2"/>
        <v>0.13096102638586291</v>
      </c>
    </row>
    <row r="162" spans="1:9" x14ac:dyDescent="0.35">
      <c r="A162" s="1" t="s">
        <v>366</v>
      </c>
      <c r="B162" s="2">
        <v>43221</v>
      </c>
      <c r="C162">
        <v>46.72</v>
      </c>
      <c r="D162">
        <v>41.6</v>
      </c>
      <c r="E162">
        <v>47.59</v>
      </c>
      <c r="F162">
        <v>41.32</v>
      </c>
      <c r="G162" s="1" t="s">
        <v>285</v>
      </c>
      <c r="H162">
        <v>0.13100000000000001</v>
      </c>
      <c r="I162" s="3">
        <f t="shared" si="2"/>
        <v>-9.4178082191780331E-3</v>
      </c>
    </row>
    <row r="163" spans="1:9" x14ac:dyDescent="0.35">
      <c r="A163" s="1" t="s">
        <v>366</v>
      </c>
      <c r="B163" s="2">
        <v>43252</v>
      </c>
      <c r="C163">
        <v>46.28</v>
      </c>
      <c r="D163">
        <v>47</v>
      </c>
      <c r="E163">
        <v>48.55</v>
      </c>
      <c r="F163">
        <v>45.18</v>
      </c>
      <c r="G163" s="1" t="s">
        <v>379</v>
      </c>
      <c r="H163">
        <v>-9.4000000000000004E-3</v>
      </c>
      <c r="I163" s="3">
        <f t="shared" si="2"/>
        <v>2.7873811581676729E-2</v>
      </c>
    </row>
    <row r="164" spans="1:9" x14ac:dyDescent="0.35">
      <c r="A164" s="1" t="s">
        <v>366</v>
      </c>
      <c r="B164" s="2">
        <v>43282</v>
      </c>
      <c r="C164">
        <v>47.57</v>
      </c>
      <c r="D164">
        <v>45.95</v>
      </c>
      <c r="E164">
        <v>48.99</v>
      </c>
      <c r="F164">
        <v>45.85</v>
      </c>
      <c r="G164" s="1" t="s">
        <v>281</v>
      </c>
      <c r="H164">
        <v>2.7900000000000001E-2</v>
      </c>
      <c r="I164" s="3">
        <f t="shared" si="2"/>
        <v>0.19634223249947438</v>
      </c>
    </row>
    <row r="165" spans="1:9" x14ac:dyDescent="0.35">
      <c r="A165" s="1" t="s">
        <v>366</v>
      </c>
      <c r="B165" s="2">
        <v>43313</v>
      </c>
      <c r="C165">
        <v>56.91</v>
      </c>
      <c r="D165">
        <v>49.78</v>
      </c>
      <c r="E165">
        <v>57.22</v>
      </c>
      <c r="F165">
        <v>49.33</v>
      </c>
      <c r="G165" s="1" t="s">
        <v>186</v>
      </c>
      <c r="H165">
        <v>0.1963</v>
      </c>
      <c r="I165" s="3">
        <f t="shared" si="2"/>
        <v>-8.2586540151115603E-3</v>
      </c>
    </row>
    <row r="166" spans="1:9" x14ac:dyDescent="0.35">
      <c r="A166" s="1" t="s">
        <v>366</v>
      </c>
      <c r="B166" s="2">
        <v>43344</v>
      </c>
      <c r="C166">
        <v>56.44</v>
      </c>
      <c r="D166">
        <v>57.1</v>
      </c>
      <c r="E166">
        <v>57.42</v>
      </c>
      <c r="F166">
        <v>53.83</v>
      </c>
      <c r="G166" s="1" t="s">
        <v>395</v>
      </c>
      <c r="H166">
        <v>-8.3000000000000001E-3</v>
      </c>
      <c r="I166" s="3">
        <f t="shared" si="2"/>
        <v>-3.0474840538625071E-2</v>
      </c>
    </row>
    <row r="167" spans="1:9" x14ac:dyDescent="0.35">
      <c r="A167" s="1" t="s">
        <v>366</v>
      </c>
      <c r="B167" s="2">
        <v>43374</v>
      </c>
      <c r="C167">
        <v>54.72</v>
      </c>
      <c r="D167">
        <v>56.99</v>
      </c>
      <c r="E167">
        <v>58.37</v>
      </c>
      <c r="F167">
        <v>51.52</v>
      </c>
      <c r="G167" s="1" t="s">
        <v>184</v>
      </c>
      <c r="H167">
        <v>-3.0499999999999999E-2</v>
      </c>
      <c r="I167" s="3">
        <f t="shared" si="2"/>
        <v>-0.18402777777777779</v>
      </c>
    </row>
    <row r="168" spans="1:9" x14ac:dyDescent="0.35">
      <c r="A168" s="1" t="s">
        <v>366</v>
      </c>
      <c r="B168" s="2">
        <v>43405</v>
      </c>
      <c r="C168">
        <v>44.65</v>
      </c>
      <c r="D168">
        <v>54.76</v>
      </c>
      <c r="E168">
        <v>55.59</v>
      </c>
      <c r="F168">
        <v>42.56</v>
      </c>
      <c r="G168" s="1" t="s">
        <v>333</v>
      </c>
      <c r="H168">
        <v>-0.184</v>
      </c>
      <c r="I168" s="3">
        <f t="shared" si="2"/>
        <v>-0.11668533034714448</v>
      </c>
    </row>
    <row r="169" spans="1:9" x14ac:dyDescent="0.35">
      <c r="A169" s="1" t="s">
        <v>366</v>
      </c>
      <c r="B169" s="2">
        <v>43435</v>
      </c>
      <c r="C169">
        <v>39.44</v>
      </c>
      <c r="D169">
        <v>46.12</v>
      </c>
      <c r="E169">
        <v>46.23</v>
      </c>
      <c r="F169">
        <v>36.65</v>
      </c>
      <c r="G169" s="1" t="s">
        <v>342</v>
      </c>
      <c r="H169">
        <v>-0.1167</v>
      </c>
      <c r="I169" s="3">
        <f t="shared" si="2"/>
        <v>5.5020283975659279E-2</v>
      </c>
    </row>
    <row r="170" spans="1:9" x14ac:dyDescent="0.35">
      <c r="A170" s="1" t="s">
        <v>366</v>
      </c>
      <c r="B170" s="2">
        <v>43466</v>
      </c>
      <c r="C170">
        <v>41.61</v>
      </c>
      <c r="D170">
        <v>38.72</v>
      </c>
      <c r="E170">
        <v>42.25</v>
      </c>
      <c r="F170">
        <v>35.5</v>
      </c>
      <c r="G170" s="1" t="s">
        <v>354</v>
      </c>
      <c r="H170">
        <v>5.5E-2</v>
      </c>
      <c r="I170" s="3">
        <f t="shared" si="2"/>
        <v>4.03749098774333E-2</v>
      </c>
    </row>
    <row r="171" spans="1:9" x14ac:dyDescent="0.35">
      <c r="A171" s="1" t="s">
        <v>366</v>
      </c>
      <c r="B171" s="2">
        <v>43497</v>
      </c>
      <c r="C171">
        <v>43.29</v>
      </c>
      <c r="D171">
        <v>41.74</v>
      </c>
      <c r="E171">
        <v>43.97</v>
      </c>
      <c r="F171">
        <v>41.48</v>
      </c>
      <c r="G171" s="1" t="s">
        <v>272</v>
      </c>
      <c r="H171">
        <v>4.0399999999999998E-2</v>
      </c>
      <c r="I171" s="3">
        <f t="shared" si="2"/>
        <v>9.702009702009709E-2</v>
      </c>
    </row>
    <row r="172" spans="1:9" x14ac:dyDescent="0.35">
      <c r="A172" s="1" t="s">
        <v>366</v>
      </c>
      <c r="B172" s="2">
        <v>43525</v>
      </c>
      <c r="C172">
        <v>47.49</v>
      </c>
      <c r="D172">
        <v>43.57</v>
      </c>
      <c r="E172">
        <v>49.42</v>
      </c>
      <c r="F172">
        <v>42.38</v>
      </c>
      <c r="G172" s="1" t="s">
        <v>276</v>
      </c>
      <c r="H172">
        <v>9.7000000000000003E-2</v>
      </c>
      <c r="I172" s="3">
        <f t="shared" si="2"/>
        <v>5.6432933249105068E-2</v>
      </c>
    </row>
    <row r="173" spans="1:9" x14ac:dyDescent="0.35">
      <c r="A173" s="1" t="s">
        <v>366</v>
      </c>
      <c r="B173" s="2">
        <v>43556</v>
      </c>
      <c r="C173">
        <v>50.17</v>
      </c>
      <c r="D173">
        <v>47.91</v>
      </c>
      <c r="E173">
        <v>52.12</v>
      </c>
      <c r="F173">
        <v>47.09</v>
      </c>
      <c r="G173" s="1" t="s">
        <v>267</v>
      </c>
      <c r="H173">
        <v>5.6399999999999999E-2</v>
      </c>
      <c r="I173" s="3">
        <f t="shared" si="2"/>
        <v>-0.1275662746661351</v>
      </c>
    </row>
    <row r="174" spans="1:9" x14ac:dyDescent="0.35">
      <c r="A174" s="1" t="s">
        <v>366</v>
      </c>
      <c r="B174" s="2">
        <v>43586</v>
      </c>
      <c r="C174">
        <v>43.77</v>
      </c>
      <c r="D174">
        <v>52.47</v>
      </c>
      <c r="E174">
        <v>53.83</v>
      </c>
      <c r="F174">
        <v>43.75</v>
      </c>
      <c r="G174" s="1" t="s">
        <v>358</v>
      </c>
      <c r="H174">
        <v>-0.12759999999999999</v>
      </c>
      <c r="I174" s="3">
        <f t="shared" si="2"/>
        <v>0.13045464930317555</v>
      </c>
    </row>
    <row r="175" spans="1:9" x14ac:dyDescent="0.35">
      <c r="A175" s="1" t="s">
        <v>366</v>
      </c>
      <c r="B175" s="2">
        <v>43617</v>
      </c>
      <c r="C175">
        <v>49.48</v>
      </c>
      <c r="D175">
        <v>43.9</v>
      </c>
      <c r="E175">
        <v>50.39</v>
      </c>
      <c r="F175">
        <v>42.57</v>
      </c>
      <c r="G175" s="1" t="s">
        <v>291</v>
      </c>
      <c r="H175">
        <v>0.1305</v>
      </c>
      <c r="I175" s="3">
        <f t="shared" si="2"/>
        <v>7.6394502829426059E-2</v>
      </c>
    </row>
    <row r="176" spans="1:9" x14ac:dyDescent="0.35">
      <c r="A176" s="1" t="s">
        <v>366</v>
      </c>
      <c r="B176" s="2">
        <v>43647</v>
      </c>
      <c r="C176">
        <v>53.26</v>
      </c>
      <c r="D176">
        <v>50.79</v>
      </c>
      <c r="E176">
        <v>55.34</v>
      </c>
      <c r="F176">
        <v>49.6</v>
      </c>
      <c r="G176" s="1" t="s">
        <v>394</v>
      </c>
      <c r="H176">
        <v>7.6399999999999996E-2</v>
      </c>
      <c r="I176" s="3">
        <f t="shared" si="2"/>
        <v>-2.0090123920390543E-2</v>
      </c>
    </row>
    <row r="177" spans="1:9" x14ac:dyDescent="0.35">
      <c r="A177" s="1" t="s">
        <v>366</v>
      </c>
      <c r="B177" s="2">
        <v>43678</v>
      </c>
      <c r="C177">
        <v>52.19</v>
      </c>
      <c r="D177">
        <v>53.48</v>
      </c>
      <c r="E177">
        <v>54.51</v>
      </c>
      <c r="F177">
        <v>48.15</v>
      </c>
      <c r="G177" s="1" t="s">
        <v>305</v>
      </c>
      <c r="H177">
        <v>-2.01E-2</v>
      </c>
      <c r="I177" s="3">
        <f t="shared" si="2"/>
        <v>7.2810883310979194E-2</v>
      </c>
    </row>
    <row r="178" spans="1:9" x14ac:dyDescent="0.35">
      <c r="A178" s="1" t="s">
        <v>366</v>
      </c>
      <c r="B178" s="2">
        <v>43709</v>
      </c>
      <c r="C178">
        <v>55.99</v>
      </c>
      <c r="D178">
        <v>51.61</v>
      </c>
      <c r="E178">
        <v>56.6</v>
      </c>
      <c r="F178">
        <v>51.05</v>
      </c>
      <c r="G178" s="1" t="s">
        <v>393</v>
      </c>
      <c r="H178">
        <v>7.2800000000000004E-2</v>
      </c>
      <c r="I178" s="3">
        <f t="shared" si="2"/>
        <v>0.11073405965350948</v>
      </c>
    </row>
    <row r="179" spans="1:9" x14ac:dyDescent="0.35">
      <c r="A179" s="1" t="s">
        <v>366</v>
      </c>
      <c r="B179" s="2">
        <v>43739</v>
      </c>
      <c r="C179">
        <v>62.19</v>
      </c>
      <c r="D179">
        <v>56.27</v>
      </c>
      <c r="E179">
        <v>62.44</v>
      </c>
      <c r="F179">
        <v>53.78</v>
      </c>
      <c r="G179" s="1" t="s">
        <v>260</v>
      </c>
      <c r="H179">
        <v>0.11070000000000001</v>
      </c>
      <c r="I179" s="3">
        <f t="shared" si="2"/>
        <v>7.4288470815243687E-2</v>
      </c>
    </row>
    <row r="180" spans="1:9" x14ac:dyDescent="0.35">
      <c r="A180" s="1" t="s">
        <v>366</v>
      </c>
      <c r="B180" s="2">
        <v>43770</v>
      </c>
      <c r="C180">
        <v>66.81</v>
      </c>
      <c r="D180">
        <v>62.38</v>
      </c>
      <c r="E180">
        <v>67</v>
      </c>
      <c r="F180">
        <v>62.29</v>
      </c>
      <c r="G180" s="1" t="s">
        <v>286</v>
      </c>
      <c r="H180">
        <v>7.4300000000000005E-2</v>
      </c>
      <c r="I180" s="3">
        <f t="shared" si="2"/>
        <v>9.8787606645711637E-2</v>
      </c>
    </row>
    <row r="181" spans="1:9" x14ac:dyDescent="0.35">
      <c r="A181" s="1" t="s">
        <v>366</v>
      </c>
      <c r="B181" s="2">
        <v>43800</v>
      </c>
      <c r="C181">
        <v>73.41</v>
      </c>
      <c r="D181">
        <v>66.819999999999993</v>
      </c>
      <c r="E181">
        <v>73.489999999999995</v>
      </c>
      <c r="F181">
        <v>64.069999999999993</v>
      </c>
      <c r="G181" s="1" t="s">
        <v>363</v>
      </c>
      <c r="H181">
        <v>9.8799999999999999E-2</v>
      </c>
      <c r="I181" s="3">
        <f t="shared" si="2"/>
        <v>5.4079825636834208E-2</v>
      </c>
    </row>
    <row r="182" spans="1:9" x14ac:dyDescent="0.35">
      <c r="A182" s="1" t="s">
        <v>366</v>
      </c>
      <c r="B182" s="2">
        <v>43831</v>
      </c>
      <c r="C182">
        <v>77.38</v>
      </c>
      <c r="D182">
        <v>74.06</v>
      </c>
      <c r="E182">
        <v>81.96</v>
      </c>
      <c r="F182">
        <v>73.19</v>
      </c>
      <c r="G182" s="1" t="s">
        <v>349</v>
      </c>
      <c r="H182">
        <v>5.4100000000000002E-2</v>
      </c>
      <c r="I182" s="3">
        <f t="shared" si="2"/>
        <v>-0.11682605324373213</v>
      </c>
    </row>
    <row r="183" spans="1:9" x14ac:dyDescent="0.35">
      <c r="A183" s="1" t="s">
        <v>366</v>
      </c>
      <c r="B183" s="2">
        <v>43862</v>
      </c>
      <c r="C183">
        <v>68.34</v>
      </c>
      <c r="D183">
        <v>76.08</v>
      </c>
      <c r="E183">
        <v>81.81</v>
      </c>
      <c r="F183">
        <v>64.09</v>
      </c>
      <c r="G183" s="1" t="s">
        <v>388</v>
      </c>
      <c r="H183">
        <v>-0.1168</v>
      </c>
      <c r="I183" s="3">
        <f t="shared" si="2"/>
        <v>-6.979806848112384E-2</v>
      </c>
    </row>
    <row r="184" spans="1:9" x14ac:dyDescent="0.35">
      <c r="A184" s="1" t="s">
        <v>366</v>
      </c>
      <c r="B184" s="2">
        <v>43891</v>
      </c>
      <c r="C184">
        <v>63.57</v>
      </c>
      <c r="D184">
        <v>70.569999999999993</v>
      </c>
      <c r="E184">
        <v>76</v>
      </c>
      <c r="F184">
        <v>53.15</v>
      </c>
      <c r="G184" s="1" t="s">
        <v>392</v>
      </c>
      <c r="H184">
        <v>-6.9800000000000001E-2</v>
      </c>
      <c r="I184" s="3">
        <f t="shared" si="2"/>
        <v>0.15541922290388552</v>
      </c>
    </row>
    <row r="185" spans="1:9" x14ac:dyDescent="0.35">
      <c r="A185" s="1" t="s">
        <v>366</v>
      </c>
      <c r="B185" s="2">
        <v>43922</v>
      </c>
      <c r="C185">
        <v>73.45</v>
      </c>
      <c r="D185">
        <v>61.62</v>
      </c>
      <c r="E185">
        <v>73.63</v>
      </c>
      <c r="F185">
        <v>59.23</v>
      </c>
      <c r="G185" s="1" t="s">
        <v>391</v>
      </c>
      <c r="H185">
        <v>0.15540000000000001</v>
      </c>
      <c r="I185" s="3">
        <f t="shared" si="2"/>
        <v>8.2096664397549368E-2</v>
      </c>
    </row>
    <row r="186" spans="1:9" x14ac:dyDescent="0.35">
      <c r="A186" s="1" t="s">
        <v>366</v>
      </c>
      <c r="B186" s="2">
        <v>43952</v>
      </c>
      <c r="C186">
        <v>79.48</v>
      </c>
      <c r="D186">
        <v>71.56</v>
      </c>
      <c r="E186">
        <v>81.06</v>
      </c>
      <c r="F186">
        <v>71.459999999999994</v>
      </c>
      <c r="G186" s="1" t="s">
        <v>390</v>
      </c>
      <c r="H186">
        <v>8.2100000000000006E-2</v>
      </c>
      <c r="I186" s="3">
        <f t="shared" si="2"/>
        <v>0.14745848012078508</v>
      </c>
    </row>
    <row r="187" spans="1:9" x14ac:dyDescent="0.35">
      <c r="A187" s="1" t="s">
        <v>366</v>
      </c>
      <c r="B187" s="2">
        <v>43983</v>
      </c>
      <c r="C187">
        <v>91.2</v>
      </c>
      <c r="D187">
        <v>79.44</v>
      </c>
      <c r="E187">
        <v>93.09</v>
      </c>
      <c r="F187">
        <v>79.3</v>
      </c>
      <c r="G187" s="1" t="s">
        <v>389</v>
      </c>
      <c r="H187">
        <v>0.14749999999999999</v>
      </c>
      <c r="I187" s="3">
        <f t="shared" si="2"/>
        <v>0.16513157894736843</v>
      </c>
    </row>
    <row r="188" spans="1:9" x14ac:dyDescent="0.35">
      <c r="A188" s="1" t="s">
        <v>366</v>
      </c>
      <c r="B188" s="2">
        <v>44013</v>
      </c>
      <c r="C188">
        <v>106.26</v>
      </c>
      <c r="D188">
        <v>91.28</v>
      </c>
      <c r="E188">
        <v>106.42</v>
      </c>
      <c r="F188">
        <v>89.14</v>
      </c>
      <c r="G188" s="1" t="s">
        <v>388</v>
      </c>
      <c r="H188">
        <v>0.1651</v>
      </c>
      <c r="I188" s="3">
        <f t="shared" si="2"/>
        <v>0.21437982307547512</v>
      </c>
    </row>
    <row r="189" spans="1:9" x14ac:dyDescent="0.35">
      <c r="A189" s="1" t="s">
        <v>366</v>
      </c>
      <c r="B189" s="2">
        <v>44044</v>
      </c>
      <c r="C189">
        <v>129.04</v>
      </c>
      <c r="D189">
        <v>108.2</v>
      </c>
      <c r="E189">
        <v>131</v>
      </c>
      <c r="F189">
        <v>107.89</v>
      </c>
      <c r="G189" s="1" t="s">
        <v>387</v>
      </c>
      <c r="H189">
        <v>0.21440000000000001</v>
      </c>
      <c r="I189" s="3">
        <f t="shared" si="2"/>
        <v>-0.10252634841909478</v>
      </c>
    </row>
    <row r="190" spans="1:9" x14ac:dyDescent="0.35">
      <c r="A190" s="1" t="s">
        <v>366</v>
      </c>
      <c r="B190" s="2">
        <v>44075</v>
      </c>
      <c r="C190">
        <v>115.81</v>
      </c>
      <c r="D190">
        <v>132.76</v>
      </c>
      <c r="E190">
        <v>137.97999999999999</v>
      </c>
      <c r="F190">
        <v>103.1</v>
      </c>
      <c r="G190" s="1" t="s">
        <v>386</v>
      </c>
      <c r="H190">
        <v>-0.10249999999999999</v>
      </c>
      <c r="I190" s="3">
        <f t="shared" si="2"/>
        <v>-6.0012088766082397E-2</v>
      </c>
    </row>
    <row r="191" spans="1:9" x14ac:dyDescent="0.35">
      <c r="A191" s="1" t="s">
        <v>366</v>
      </c>
      <c r="B191" s="2">
        <v>44105</v>
      </c>
      <c r="C191">
        <v>108.86</v>
      </c>
      <c r="D191">
        <v>117.64</v>
      </c>
      <c r="E191">
        <v>125.39</v>
      </c>
      <c r="F191">
        <v>107.72</v>
      </c>
      <c r="G191" s="1" t="s">
        <v>385</v>
      </c>
      <c r="H191">
        <v>-0.06</v>
      </c>
      <c r="I191" s="3">
        <f t="shared" si="2"/>
        <v>9.3606467021862927E-2</v>
      </c>
    </row>
    <row r="192" spans="1:9" x14ac:dyDescent="0.35">
      <c r="A192" s="1" t="s">
        <v>366</v>
      </c>
      <c r="B192" s="2">
        <v>44136</v>
      </c>
      <c r="C192">
        <v>119.05</v>
      </c>
      <c r="D192">
        <v>109.11</v>
      </c>
      <c r="E192">
        <v>121.99</v>
      </c>
      <c r="F192">
        <v>107.32</v>
      </c>
      <c r="G192" s="1" t="s">
        <v>384</v>
      </c>
      <c r="H192">
        <v>9.3600000000000003E-2</v>
      </c>
      <c r="I192" s="3">
        <f t="shared" si="2"/>
        <v>0.11457370852582949</v>
      </c>
    </row>
    <row r="193" spans="1:9" x14ac:dyDescent="0.35">
      <c r="A193" s="1" t="s">
        <v>366</v>
      </c>
      <c r="B193" s="2">
        <v>44166</v>
      </c>
      <c r="C193">
        <v>132.69</v>
      </c>
      <c r="D193">
        <v>121.01</v>
      </c>
      <c r="E193">
        <v>138.79</v>
      </c>
      <c r="F193">
        <v>120.01</v>
      </c>
      <c r="G193" s="1" t="s">
        <v>258</v>
      </c>
      <c r="H193">
        <v>0.11459999999999999</v>
      </c>
      <c r="I193" s="3">
        <f t="shared" si="2"/>
        <v>-5.5015449544049272E-3</v>
      </c>
    </row>
    <row r="194" spans="1:9" x14ac:dyDescent="0.35">
      <c r="A194" s="1" t="s">
        <v>366</v>
      </c>
      <c r="B194" s="2">
        <v>44197</v>
      </c>
      <c r="C194">
        <v>131.96</v>
      </c>
      <c r="D194">
        <v>133.52000000000001</v>
      </c>
      <c r="E194">
        <v>145.09</v>
      </c>
      <c r="F194">
        <v>126.38</v>
      </c>
      <c r="G194" s="1" t="s">
        <v>383</v>
      </c>
      <c r="H194">
        <v>-5.4999999999999997E-3</v>
      </c>
      <c r="I194" s="3">
        <f t="shared" ref="I194:I257" si="3">IF(A195=A194, (C195-C194)/C194, 0)</f>
        <v>-8.1085177326462587E-2</v>
      </c>
    </row>
    <row r="195" spans="1:9" x14ac:dyDescent="0.35">
      <c r="A195" s="1" t="s">
        <v>366</v>
      </c>
      <c r="B195" s="2">
        <v>44228</v>
      </c>
      <c r="C195">
        <v>121.26</v>
      </c>
      <c r="D195">
        <v>133.75</v>
      </c>
      <c r="E195">
        <v>137.88</v>
      </c>
      <c r="F195">
        <v>118.39</v>
      </c>
      <c r="G195" s="1" t="s">
        <v>382</v>
      </c>
      <c r="H195">
        <v>-8.1100000000000005E-2</v>
      </c>
      <c r="I195" s="3">
        <f t="shared" si="3"/>
        <v>7.3396008576612284E-3</v>
      </c>
    </row>
    <row r="196" spans="1:9" x14ac:dyDescent="0.35">
      <c r="A196" s="1" t="s">
        <v>366</v>
      </c>
      <c r="B196" s="2">
        <v>44256</v>
      </c>
      <c r="C196">
        <v>122.15</v>
      </c>
      <c r="D196">
        <v>123.75</v>
      </c>
      <c r="E196">
        <v>128.72</v>
      </c>
      <c r="F196">
        <v>116.21</v>
      </c>
      <c r="G196" s="1" t="s">
        <v>381</v>
      </c>
      <c r="H196">
        <v>7.3000000000000001E-3</v>
      </c>
      <c r="I196" s="3">
        <f t="shared" si="3"/>
        <v>7.621776504297996E-2</v>
      </c>
    </row>
    <row r="197" spans="1:9" x14ac:dyDescent="0.35">
      <c r="A197" s="1" t="s">
        <v>366</v>
      </c>
      <c r="B197" s="2">
        <v>44287</v>
      </c>
      <c r="C197">
        <v>131.46</v>
      </c>
      <c r="D197">
        <v>123.66</v>
      </c>
      <c r="E197">
        <v>137.07</v>
      </c>
      <c r="F197">
        <v>122.49</v>
      </c>
      <c r="G197" s="1" t="s">
        <v>272</v>
      </c>
      <c r="H197">
        <v>7.6200000000000004E-2</v>
      </c>
      <c r="I197" s="3">
        <f t="shared" si="3"/>
        <v>-5.2107104822759834E-2</v>
      </c>
    </row>
    <row r="198" spans="1:9" x14ac:dyDescent="0.35">
      <c r="A198" s="1" t="s">
        <v>366</v>
      </c>
      <c r="B198" s="2">
        <v>44317</v>
      </c>
      <c r="C198">
        <v>124.61</v>
      </c>
      <c r="D198">
        <v>132.04</v>
      </c>
      <c r="E198">
        <v>134.07</v>
      </c>
      <c r="F198">
        <v>122.25</v>
      </c>
      <c r="G198" s="1" t="s">
        <v>194</v>
      </c>
      <c r="H198">
        <v>-5.21E-2</v>
      </c>
      <c r="I198" s="3">
        <f t="shared" si="3"/>
        <v>9.9109220768798717E-2</v>
      </c>
    </row>
    <row r="199" spans="1:9" x14ac:dyDescent="0.35">
      <c r="A199" s="1" t="s">
        <v>366</v>
      </c>
      <c r="B199" s="2">
        <v>44348</v>
      </c>
      <c r="C199">
        <v>136.96</v>
      </c>
      <c r="D199">
        <v>125.08</v>
      </c>
      <c r="E199">
        <v>137.41</v>
      </c>
      <c r="F199">
        <v>123.13</v>
      </c>
      <c r="G199" s="1" t="s">
        <v>380</v>
      </c>
      <c r="H199">
        <v>9.9099999999999994E-2</v>
      </c>
      <c r="I199" s="3">
        <f t="shared" si="3"/>
        <v>6.4982476635514055E-2</v>
      </c>
    </row>
    <row r="200" spans="1:9" x14ac:dyDescent="0.35">
      <c r="A200" s="1" t="s">
        <v>366</v>
      </c>
      <c r="B200" s="2">
        <v>44378</v>
      </c>
      <c r="C200">
        <v>145.86000000000001</v>
      </c>
      <c r="D200">
        <v>136.6</v>
      </c>
      <c r="E200">
        <v>150</v>
      </c>
      <c r="F200">
        <v>135.76</v>
      </c>
      <c r="G200" s="1" t="s">
        <v>282</v>
      </c>
      <c r="H200">
        <v>6.5000000000000002E-2</v>
      </c>
      <c r="I200" s="3">
        <f t="shared" si="3"/>
        <v>4.092965857671739E-2</v>
      </c>
    </row>
    <row r="201" spans="1:9" x14ac:dyDescent="0.35">
      <c r="A201" s="1" t="s">
        <v>366</v>
      </c>
      <c r="B201" s="2">
        <v>44409</v>
      </c>
      <c r="C201">
        <v>151.83000000000001</v>
      </c>
      <c r="D201">
        <v>146.36000000000001</v>
      </c>
      <c r="E201">
        <v>153.49</v>
      </c>
      <c r="F201">
        <v>144.5</v>
      </c>
      <c r="G201" s="1" t="s">
        <v>171</v>
      </c>
      <c r="H201">
        <v>4.0899999999999999E-2</v>
      </c>
      <c r="I201" s="3">
        <f t="shared" si="3"/>
        <v>-6.8036619903839898E-2</v>
      </c>
    </row>
    <row r="202" spans="1:9" x14ac:dyDescent="0.35">
      <c r="A202" s="1" t="s">
        <v>366</v>
      </c>
      <c r="B202" s="2">
        <v>44440</v>
      </c>
      <c r="C202">
        <v>141.5</v>
      </c>
      <c r="D202">
        <v>152.83000000000001</v>
      </c>
      <c r="E202">
        <v>157.26</v>
      </c>
      <c r="F202">
        <v>141.27000000000001</v>
      </c>
      <c r="G202" s="1" t="s">
        <v>286</v>
      </c>
      <c r="H202">
        <v>-6.8000000000000005E-2</v>
      </c>
      <c r="I202" s="3">
        <f t="shared" si="3"/>
        <v>5.8657243816254499E-2</v>
      </c>
    </row>
    <row r="203" spans="1:9" x14ac:dyDescent="0.35">
      <c r="A203" s="1" t="s">
        <v>366</v>
      </c>
      <c r="B203" s="2">
        <v>44470</v>
      </c>
      <c r="C203">
        <v>149.80000000000001</v>
      </c>
      <c r="D203">
        <v>141.9</v>
      </c>
      <c r="E203">
        <v>153.16</v>
      </c>
      <c r="F203">
        <v>138.27000000000001</v>
      </c>
      <c r="G203" s="1" t="s">
        <v>66</v>
      </c>
      <c r="H203">
        <v>5.8700000000000002E-2</v>
      </c>
      <c r="I203" s="3">
        <f t="shared" si="3"/>
        <v>0.1034712950600801</v>
      </c>
    </row>
    <row r="204" spans="1:9" x14ac:dyDescent="0.35">
      <c r="A204" s="1" t="s">
        <v>366</v>
      </c>
      <c r="B204" s="2">
        <v>44501</v>
      </c>
      <c r="C204">
        <v>165.3</v>
      </c>
      <c r="D204">
        <v>148.99</v>
      </c>
      <c r="E204">
        <v>165.7</v>
      </c>
      <c r="F204">
        <v>147.47999999999999</v>
      </c>
      <c r="G204" s="1" t="s">
        <v>247</v>
      </c>
      <c r="H204">
        <v>0.10349999999999999</v>
      </c>
      <c r="I204" s="3">
        <f t="shared" si="3"/>
        <v>7.4228675136116043E-2</v>
      </c>
    </row>
    <row r="205" spans="1:9" x14ac:dyDescent="0.35">
      <c r="A205" s="1" t="s">
        <v>366</v>
      </c>
      <c r="B205" s="2">
        <v>44531</v>
      </c>
      <c r="C205">
        <v>177.57</v>
      </c>
      <c r="D205">
        <v>167.48</v>
      </c>
      <c r="E205">
        <v>182.13</v>
      </c>
      <c r="F205">
        <v>157.80000000000001</v>
      </c>
      <c r="G205" s="1" t="s">
        <v>344</v>
      </c>
      <c r="H205">
        <v>7.4200000000000002E-2</v>
      </c>
      <c r="I205" s="3">
        <f t="shared" si="3"/>
        <v>-1.571211353269129E-2</v>
      </c>
    </row>
    <row r="206" spans="1:9" x14ac:dyDescent="0.35">
      <c r="A206" s="1" t="s">
        <v>366</v>
      </c>
      <c r="B206" s="2">
        <v>44562</v>
      </c>
      <c r="C206">
        <v>174.78</v>
      </c>
      <c r="D206">
        <v>177.83</v>
      </c>
      <c r="E206">
        <v>182.94</v>
      </c>
      <c r="F206">
        <v>154.69999999999999</v>
      </c>
      <c r="G206" s="1" t="s">
        <v>379</v>
      </c>
      <c r="H206">
        <v>-1.5699999999999999E-2</v>
      </c>
      <c r="I206" s="3">
        <f t="shared" si="3"/>
        <v>-5.5269481634054221E-2</v>
      </c>
    </row>
    <row r="207" spans="1:9" x14ac:dyDescent="0.35">
      <c r="A207" s="1" t="s">
        <v>366</v>
      </c>
      <c r="B207" s="2">
        <v>44593</v>
      </c>
      <c r="C207">
        <v>165.12</v>
      </c>
      <c r="D207">
        <v>174.01</v>
      </c>
      <c r="E207">
        <v>176.65</v>
      </c>
      <c r="F207">
        <v>152</v>
      </c>
      <c r="G207" s="1" t="s">
        <v>170</v>
      </c>
      <c r="H207">
        <v>-5.5300000000000002E-2</v>
      </c>
      <c r="I207" s="3">
        <f t="shared" si="3"/>
        <v>5.7473352713178348E-2</v>
      </c>
    </row>
    <row r="208" spans="1:9" x14ac:dyDescent="0.35">
      <c r="A208" s="1" t="s">
        <v>366</v>
      </c>
      <c r="B208" s="2">
        <v>44621</v>
      </c>
      <c r="C208">
        <v>174.61</v>
      </c>
      <c r="D208">
        <v>164.69</v>
      </c>
      <c r="E208">
        <v>179.61</v>
      </c>
      <c r="F208">
        <v>150.1</v>
      </c>
      <c r="G208" s="1" t="s">
        <v>378</v>
      </c>
      <c r="H208">
        <v>5.7500000000000002E-2</v>
      </c>
      <c r="I208" s="3">
        <f t="shared" si="3"/>
        <v>-9.7130748525284957E-2</v>
      </c>
    </row>
    <row r="209" spans="1:9" x14ac:dyDescent="0.35">
      <c r="A209" s="1" t="s">
        <v>366</v>
      </c>
      <c r="B209" s="2">
        <v>44652</v>
      </c>
      <c r="C209">
        <v>157.65</v>
      </c>
      <c r="D209">
        <v>174.03</v>
      </c>
      <c r="E209">
        <v>178.49</v>
      </c>
      <c r="F209">
        <v>155.38</v>
      </c>
      <c r="G209" s="1" t="s">
        <v>247</v>
      </c>
      <c r="H209">
        <v>-9.7100000000000006E-2</v>
      </c>
      <c r="I209" s="3">
        <f t="shared" si="3"/>
        <v>-5.5883285759594052E-2</v>
      </c>
    </row>
    <row r="210" spans="1:9" x14ac:dyDescent="0.35">
      <c r="A210" s="1" t="s">
        <v>366</v>
      </c>
      <c r="B210" s="2">
        <v>44682</v>
      </c>
      <c r="C210">
        <v>148.84</v>
      </c>
      <c r="D210">
        <v>156.71</v>
      </c>
      <c r="E210">
        <v>166.48</v>
      </c>
      <c r="F210">
        <v>132.61000000000001</v>
      </c>
      <c r="G210" s="1" t="s">
        <v>363</v>
      </c>
      <c r="H210">
        <v>-5.5899999999999998E-2</v>
      </c>
      <c r="I210" s="3">
        <f t="shared" si="3"/>
        <v>-8.1429723192690165E-2</v>
      </c>
    </row>
    <row r="211" spans="1:9" x14ac:dyDescent="0.35">
      <c r="A211" s="1" t="s">
        <v>366</v>
      </c>
      <c r="B211" s="2">
        <v>44713</v>
      </c>
      <c r="C211">
        <v>136.72</v>
      </c>
      <c r="D211">
        <v>149.9</v>
      </c>
      <c r="E211">
        <v>151.74</v>
      </c>
      <c r="F211">
        <v>129.04</v>
      </c>
      <c r="G211" s="1" t="s">
        <v>287</v>
      </c>
      <c r="H211">
        <v>-8.14E-2</v>
      </c>
      <c r="I211" s="3">
        <f t="shared" si="3"/>
        <v>0.18863370392042125</v>
      </c>
    </row>
    <row r="212" spans="1:9" x14ac:dyDescent="0.35">
      <c r="A212" s="1" t="s">
        <v>366</v>
      </c>
      <c r="B212" s="2">
        <v>44743</v>
      </c>
      <c r="C212">
        <v>162.51</v>
      </c>
      <c r="D212">
        <v>136.04</v>
      </c>
      <c r="E212">
        <v>163.63</v>
      </c>
      <c r="F212">
        <v>135.66</v>
      </c>
      <c r="G212" s="1" t="s">
        <v>377</v>
      </c>
      <c r="H212">
        <v>0.18859999999999999</v>
      </c>
      <c r="I212" s="3">
        <f t="shared" si="3"/>
        <v>-3.2551842963509887E-2</v>
      </c>
    </row>
    <row r="213" spans="1:9" x14ac:dyDescent="0.35">
      <c r="A213" s="1" t="s">
        <v>366</v>
      </c>
      <c r="B213" s="2">
        <v>44774</v>
      </c>
      <c r="C213">
        <v>157.22</v>
      </c>
      <c r="D213">
        <v>161.01</v>
      </c>
      <c r="E213">
        <v>176.15</v>
      </c>
      <c r="F213">
        <v>157.13999999999999</v>
      </c>
      <c r="G213" s="1" t="s">
        <v>296</v>
      </c>
      <c r="H213">
        <v>-3.2599999999999997E-2</v>
      </c>
      <c r="I213" s="3">
        <f t="shared" si="3"/>
        <v>-0.12097697493957518</v>
      </c>
    </row>
    <row r="214" spans="1:9" x14ac:dyDescent="0.35">
      <c r="A214" s="1" t="s">
        <v>366</v>
      </c>
      <c r="B214" s="2">
        <v>44805</v>
      </c>
      <c r="C214">
        <v>138.19999999999999</v>
      </c>
      <c r="D214">
        <v>156.63999999999999</v>
      </c>
      <c r="E214">
        <v>164.26</v>
      </c>
      <c r="F214">
        <v>138</v>
      </c>
      <c r="G214" s="1" t="s">
        <v>188</v>
      </c>
      <c r="H214">
        <v>-0.121</v>
      </c>
      <c r="I214" s="3">
        <f t="shared" si="3"/>
        <v>0.10955137481910286</v>
      </c>
    </row>
    <row r="215" spans="1:9" x14ac:dyDescent="0.35">
      <c r="A215" s="1" t="s">
        <v>366</v>
      </c>
      <c r="B215" s="2">
        <v>44835</v>
      </c>
      <c r="C215">
        <v>153.34</v>
      </c>
      <c r="D215">
        <v>138.21</v>
      </c>
      <c r="E215">
        <v>157.5</v>
      </c>
      <c r="F215">
        <v>134.37</v>
      </c>
      <c r="G215" s="1" t="s">
        <v>201</v>
      </c>
      <c r="H215">
        <v>0.1096</v>
      </c>
      <c r="I215" s="3">
        <f t="shared" si="3"/>
        <v>-3.4628929176992319E-2</v>
      </c>
    </row>
    <row r="216" spans="1:9" x14ac:dyDescent="0.35">
      <c r="A216" s="1" t="s">
        <v>366</v>
      </c>
      <c r="B216" s="2">
        <v>44866</v>
      </c>
      <c r="C216">
        <v>148.03</v>
      </c>
      <c r="D216">
        <v>155.08000000000001</v>
      </c>
      <c r="E216">
        <v>155.44999999999999</v>
      </c>
      <c r="F216">
        <v>134.38</v>
      </c>
      <c r="G216" s="1" t="s">
        <v>275</v>
      </c>
      <c r="H216">
        <v>-3.4599999999999999E-2</v>
      </c>
      <c r="I216" s="3">
        <f t="shared" si="3"/>
        <v>-0.12227251232858201</v>
      </c>
    </row>
    <row r="217" spans="1:9" x14ac:dyDescent="0.35">
      <c r="A217" s="1" t="s">
        <v>366</v>
      </c>
      <c r="B217" s="2">
        <v>44896</v>
      </c>
      <c r="C217">
        <v>129.93</v>
      </c>
      <c r="D217">
        <v>148.21</v>
      </c>
      <c r="E217">
        <v>150.91999999999999</v>
      </c>
      <c r="F217">
        <v>125.87</v>
      </c>
      <c r="G217" s="1" t="s">
        <v>172</v>
      </c>
      <c r="H217">
        <v>-0.12230000000000001</v>
      </c>
      <c r="I217" s="3">
        <f t="shared" si="3"/>
        <v>0.11052104979604391</v>
      </c>
    </row>
    <row r="218" spans="1:9" x14ac:dyDescent="0.35">
      <c r="A218" s="1" t="s">
        <v>366</v>
      </c>
      <c r="B218" s="2">
        <v>44927</v>
      </c>
      <c r="C218">
        <v>144.29</v>
      </c>
      <c r="D218">
        <v>130.28</v>
      </c>
      <c r="E218">
        <v>147.22999999999999</v>
      </c>
      <c r="F218">
        <v>124.17</v>
      </c>
      <c r="G218" s="1" t="s">
        <v>150</v>
      </c>
      <c r="H218">
        <v>0.1105</v>
      </c>
      <c r="I218" s="3">
        <f t="shared" si="3"/>
        <v>2.1623120105343438E-2</v>
      </c>
    </row>
    <row r="219" spans="1:9" x14ac:dyDescent="0.35">
      <c r="A219" s="1" t="s">
        <v>366</v>
      </c>
      <c r="B219" s="2">
        <v>44958</v>
      </c>
      <c r="C219">
        <v>147.41</v>
      </c>
      <c r="D219">
        <v>143.97</v>
      </c>
      <c r="E219">
        <v>157.38</v>
      </c>
      <c r="F219">
        <v>141.32</v>
      </c>
      <c r="G219" s="1" t="s">
        <v>376</v>
      </c>
      <c r="H219">
        <v>2.1600000000000001E-2</v>
      </c>
      <c r="I219" s="3">
        <f t="shared" si="3"/>
        <v>0.11864866698324408</v>
      </c>
    </row>
    <row r="220" spans="1:9" x14ac:dyDescent="0.35">
      <c r="A220" s="1" t="s">
        <v>366</v>
      </c>
      <c r="B220" s="2">
        <v>44986</v>
      </c>
      <c r="C220">
        <v>164.9</v>
      </c>
      <c r="D220">
        <v>146.83000000000001</v>
      </c>
      <c r="E220">
        <v>165</v>
      </c>
      <c r="F220">
        <v>143.9</v>
      </c>
      <c r="G220" s="1" t="s">
        <v>244</v>
      </c>
      <c r="H220">
        <v>0.1186</v>
      </c>
      <c r="I220" s="3">
        <f t="shared" si="3"/>
        <v>2.8987265009096427E-2</v>
      </c>
    </row>
    <row r="221" spans="1:9" x14ac:dyDescent="0.35">
      <c r="A221" s="1" t="s">
        <v>366</v>
      </c>
      <c r="B221" s="2">
        <v>45017</v>
      </c>
      <c r="C221">
        <v>169.68</v>
      </c>
      <c r="D221">
        <v>164.27</v>
      </c>
      <c r="E221">
        <v>169.85</v>
      </c>
      <c r="F221">
        <v>159.78</v>
      </c>
      <c r="G221" s="1" t="s">
        <v>375</v>
      </c>
      <c r="H221">
        <v>2.9000000000000001E-2</v>
      </c>
      <c r="I221" s="3">
        <f t="shared" si="3"/>
        <v>4.4613389910419569E-2</v>
      </c>
    </row>
    <row r="222" spans="1:9" x14ac:dyDescent="0.35">
      <c r="A222" s="1" t="s">
        <v>366</v>
      </c>
      <c r="B222" s="2">
        <v>45047</v>
      </c>
      <c r="C222">
        <v>177.25</v>
      </c>
      <c r="D222">
        <v>169.28</v>
      </c>
      <c r="E222">
        <v>179.35</v>
      </c>
      <c r="F222">
        <v>164.31</v>
      </c>
      <c r="G222" s="1" t="s">
        <v>374</v>
      </c>
      <c r="H222">
        <v>4.4600000000000001E-2</v>
      </c>
      <c r="I222" s="3">
        <f t="shared" si="3"/>
        <v>9.4330042313117063E-2</v>
      </c>
    </row>
    <row r="223" spans="1:9" x14ac:dyDescent="0.35">
      <c r="A223" s="1" t="s">
        <v>366</v>
      </c>
      <c r="B223" s="2">
        <v>45078</v>
      </c>
      <c r="C223">
        <v>193.97</v>
      </c>
      <c r="D223">
        <v>177.7</v>
      </c>
      <c r="E223">
        <v>194.48</v>
      </c>
      <c r="F223">
        <v>176.93</v>
      </c>
      <c r="G223" s="1" t="s">
        <v>373</v>
      </c>
      <c r="H223">
        <v>9.4299999999999995E-2</v>
      </c>
      <c r="I223" s="3">
        <f t="shared" si="3"/>
        <v>1.2785482291075886E-2</v>
      </c>
    </row>
    <row r="224" spans="1:9" x14ac:dyDescent="0.35">
      <c r="A224" s="1" t="s">
        <v>366</v>
      </c>
      <c r="B224" s="2">
        <v>45108</v>
      </c>
      <c r="C224">
        <v>196.45</v>
      </c>
      <c r="D224">
        <v>193.78</v>
      </c>
      <c r="E224">
        <v>198.23</v>
      </c>
      <c r="F224">
        <v>186.6</v>
      </c>
      <c r="G224" s="1" t="s">
        <v>372</v>
      </c>
      <c r="H224">
        <v>1.2800000000000001E-2</v>
      </c>
      <c r="I224" s="3">
        <f t="shared" si="3"/>
        <v>-4.367523542886223E-2</v>
      </c>
    </row>
    <row r="225" spans="1:9" x14ac:dyDescent="0.35">
      <c r="A225" s="1" t="s">
        <v>366</v>
      </c>
      <c r="B225" s="2">
        <v>45139</v>
      </c>
      <c r="C225">
        <v>187.87</v>
      </c>
      <c r="D225">
        <v>196.24</v>
      </c>
      <c r="E225">
        <v>196.73</v>
      </c>
      <c r="F225">
        <v>171.96</v>
      </c>
      <c r="G225" s="1" t="s">
        <v>300</v>
      </c>
      <c r="H225">
        <v>-4.3700000000000003E-2</v>
      </c>
      <c r="I225" s="3">
        <f t="shared" si="3"/>
        <v>-8.8678341406291564E-2</v>
      </c>
    </row>
    <row r="226" spans="1:9" x14ac:dyDescent="0.35">
      <c r="A226" s="1" t="s">
        <v>366</v>
      </c>
      <c r="B226" s="2">
        <v>45170</v>
      </c>
      <c r="C226">
        <v>171.21</v>
      </c>
      <c r="D226">
        <v>189.49</v>
      </c>
      <c r="E226">
        <v>189.98</v>
      </c>
      <c r="F226">
        <v>167.62</v>
      </c>
      <c r="G226" s="1" t="s">
        <v>135</v>
      </c>
      <c r="H226">
        <v>-8.8700000000000001E-2</v>
      </c>
      <c r="I226" s="3">
        <f t="shared" si="3"/>
        <v>-2.5699433444308028E-3</v>
      </c>
    </row>
    <row r="227" spans="1:9" x14ac:dyDescent="0.35">
      <c r="A227" s="1" t="s">
        <v>366</v>
      </c>
      <c r="B227" s="2">
        <v>45200</v>
      </c>
      <c r="C227">
        <v>170.77</v>
      </c>
      <c r="D227">
        <v>171.22</v>
      </c>
      <c r="E227">
        <v>182.34</v>
      </c>
      <c r="F227">
        <v>165.67</v>
      </c>
      <c r="G227" s="1" t="s">
        <v>154</v>
      </c>
      <c r="H227">
        <v>-2.5999999999999999E-3</v>
      </c>
      <c r="I227" s="3">
        <f t="shared" si="3"/>
        <v>0.11231480939275035</v>
      </c>
    </row>
    <row r="228" spans="1:9" x14ac:dyDescent="0.35">
      <c r="A228" s="1" t="s">
        <v>366</v>
      </c>
      <c r="B228" s="2">
        <v>45231</v>
      </c>
      <c r="C228">
        <v>189.95</v>
      </c>
      <c r="D228">
        <v>171</v>
      </c>
      <c r="E228">
        <v>192.93</v>
      </c>
      <c r="F228">
        <v>170.12</v>
      </c>
      <c r="G228" s="1" t="s">
        <v>159</v>
      </c>
      <c r="H228">
        <v>0.1123</v>
      </c>
      <c r="I228" s="3">
        <f t="shared" si="3"/>
        <v>1.3582521716241183E-2</v>
      </c>
    </row>
    <row r="229" spans="1:9" x14ac:dyDescent="0.35">
      <c r="A229" s="1" t="s">
        <v>366</v>
      </c>
      <c r="B229" s="2">
        <v>45261</v>
      </c>
      <c r="C229">
        <v>192.53</v>
      </c>
      <c r="D229">
        <v>190.33</v>
      </c>
      <c r="E229">
        <v>199.62</v>
      </c>
      <c r="F229">
        <v>187.45</v>
      </c>
      <c r="G229" s="1" t="s">
        <v>127</v>
      </c>
      <c r="H229">
        <v>1.3599999999999999E-2</v>
      </c>
      <c r="I229" s="3">
        <f t="shared" si="3"/>
        <v>-4.2227185373707968E-2</v>
      </c>
    </row>
    <row r="230" spans="1:9" x14ac:dyDescent="0.35">
      <c r="A230" s="1" t="s">
        <v>366</v>
      </c>
      <c r="B230" s="2">
        <v>45292</v>
      </c>
      <c r="C230">
        <v>184.4</v>
      </c>
      <c r="D230">
        <v>187.15</v>
      </c>
      <c r="E230">
        <v>196.38</v>
      </c>
      <c r="F230">
        <v>180.17</v>
      </c>
      <c r="G230" s="1" t="s">
        <v>280</v>
      </c>
      <c r="H230">
        <v>-4.2200000000000001E-2</v>
      </c>
      <c r="I230" s="3">
        <f t="shared" si="3"/>
        <v>-1.9793926247288533E-2</v>
      </c>
    </row>
    <row r="231" spans="1:9" x14ac:dyDescent="0.35">
      <c r="A231" s="1" t="s">
        <v>366</v>
      </c>
      <c r="B231" s="2">
        <v>45323</v>
      </c>
      <c r="C231">
        <v>180.75</v>
      </c>
      <c r="D231">
        <v>183.99</v>
      </c>
      <c r="E231">
        <v>191.05</v>
      </c>
      <c r="F231">
        <v>179.25</v>
      </c>
      <c r="G231" s="1" t="s">
        <v>279</v>
      </c>
      <c r="H231">
        <v>-1.9800000000000002E-2</v>
      </c>
      <c r="I231" s="3">
        <f t="shared" si="3"/>
        <v>-5.1286307053941965E-2</v>
      </c>
    </row>
    <row r="232" spans="1:9" x14ac:dyDescent="0.35">
      <c r="A232" s="1" t="s">
        <v>366</v>
      </c>
      <c r="B232" s="2">
        <v>45352</v>
      </c>
      <c r="C232">
        <v>171.48</v>
      </c>
      <c r="D232">
        <v>179.55</v>
      </c>
      <c r="E232">
        <v>180.53</v>
      </c>
      <c r="F232">
        <v>168.49</v>
      </c>
      <c r="G232" s="1" t="s">
        <v>242</v>
      </c>
      <c r="H232">
        <v>-5.1299999999999998E-2</v>
      </c>
      <c r="I232" s="3">
        <f t="shared" si="3"/>
        <v>-6.7063214369021303E-3</v>
      </c>
    </row>
    <row r="233" spans="1:9" x14ac:dyDescent="0.35">
      <c r="A233" s="1" t="s">
        <v>366</v>
      </c>
      <c r="B233" s="2">
        <v>45383</v>
      </c>
      <c r="C233">
        <v>170.33</v>
      </c>
      <c r="D233">
        <v>171.19</v>
      </c>
      <c r="E233">
        <v>178.36</v>
      </c>
      <c r="F233">
        <v>164.07</v>
      </c>
      <c r="G233" s="1" t="s">
        <v>251</v>
      </c>
      <c r="H233">
        <v>-6.7000000000000002E-3</v>
      </c>
      <c r="I233" s="3">
        <f t="shared" si="3"/>
        <v>0.1286913638231667</v>
      </c>
    </row>
    <row r="234" spans="1:9" x14ac:dyDescent="0.35">
      <c r="A234" s="1" t="s">
        <v>366</v>
      </c>
      <c r="B234" s="2">
        <v>45413</v>
      </c>
      <c r="C234">
        <v>192.25</v>
      </c>
      <c r="D234">
        <v>169.58</v>
      </c>
      <c r="E234">
        <v>193</v>
      </c>
      <c r="F234">
        <v>169.11</v>
      </c>
      <c r="G234" s="1" t="s">
        <v>135</v>
      </c>
      <c r="H234">
        <v>0.12870000000000001</v>
      </c>
      <c r="I234" s="3">
        <f t="shared" si="3"/>
        <v>9.555266579973995E-2</v>
      </c>
    </row>
    <row r="235" spans="1:9" x14ac:dyDescent="0.35">
      <c r="A235" s="1" t="s">
        <v>366</v>
      </c>
      <c r="B235" s="2">
        <v>45444</v>
      </c>
      <c r="C235">
        <v>210.62</v>
      </c>
      <c r="D235">
        <v>192.9</v>
      </c>
      <c r="E235">
        <v>220.2</v>
      </c>
      <c r="F235">
        <v>192.15</v>
      </c>
      <c r="G235" s="1" t="s">
        <v>275</v>
      </c>
      <c r="H235">
        <v>9.5600000000000004E-2</v>
      </c>
      <c r="I235" s="3">
        <f t="shared" si="3"/>
        <v>5.4410787199696171E-2</v>
      </c>
    </row>
    <row r="236" spans="1:9" x14ac:dyDescent="0.35">
      <c r="A236" s="1" t="s">
        <v>366</v>
      </c>
      <c r="B236" s="2">
        <v>45474</v>
      </c>
      <c r="C236">
        <v>222.08</v>
      </c>
      <c r="D236">
        <v>212.09</v>
      </c>
      <c r="E236">
        <v>237.23</v>
      </c>
      <c r="F236">
        <v>211.92</v>
      </c>
      <c r="G236" s="1" t="s">
        <v>371</v>
      </c>
      <c r="H236">
        <v>5.4399999999999997E-2</v>
      </c>
      <c r="I236" s="3">
        <f t="shared" si="3"/>
        <v>3.1159942363112335E-2</v>
      </c>
    </row>
    <row r="237" spans="1:9" x14ac:dyDescent="0.35">
      <c r="A237" s="1" t="s">
        <v>366</v>
      </c>
      <c r="B237" s="2">
        <v>45505</v>
      </c>
      <c r="C237">
        <v>229</v>
      </c>
      <c r="D237">
        <v>224.37</v>
      </c>
      <c r="E237">
        <v>232.92</v>
      </c>
      <c r="F237">
        <v>196</v>
      </c>
      <c r="G237" s="1" t="s">
        <v>65</v>
      </c>
      <c r="H237">
        <v>3.1199999999999999E-2</v>
      </c>
      <c r="I237" s="3">
        <f t="shared" si="3"/>
        <v>1.7467248908296942E-2</v>
      </c>
    </row>
    <row r="238" spans="1:9" x14ac:dyDescent="0.35">
      <c r="A238" s="1" t="s">
        <v>366</v>
      </c>
      <c r="B238" s="2">
        <v>45536</v>
      </c>
      <c r="C238">
        <v>233</v>
      </c>
      <c r="D238">
        <v>228.55</v>
      </c>
      <c r="E238">
        <v>233.09</v>
      </c>
      <c r="F238">
        <v>213.92</v>
      </c>
      <c r="G238" s="1" t="s">
        <v>370</v>
      </c>
      <c r="H238">
        <v>1.7500000000000002E-2</v>
      </c>
      <c r="I238" s="3">
        <f t="shared" si="3"/>
        <v>-3.0429184549356239E-2</v>
      </c>
    </row>
    <row r="239" spans="1:9" x14ac:dyDescent="0.35">
      <c r="A239" s="1" t="s">
        <v>366</v>
      </c>
      <c r="B239" s="2">
        <v>45566</v>
      </c>
      <c r="C239">
        <v>225.91</v>
      </c>
      <c r="D239">
        <v>229.52</v>
      </c>
      <c r="E239">
        <v>237.49</v>
      </c>
      <c r="F239">
        <v>221.33</v>
      </c>
      <c r="G239" s="1" t="s">
        <v>369</v>
      </c>
      <c r="H239">
        <v>-3.04E-2</v>
      </c>
      <c r="I239" s="3">
        <f t="shared" si="3"/>
        <v>5.0551104422115072E-2</v>
      </c>
    </row>
    <row r="240" spans="1:9" x14ac:dyDescent="0.35">
      <c r="A240" s="1" t="s">
        <v>366</v>
      </c>
      <c r="B240" s="2">
        <v>45597</v>
      </c>
      <c r="C240">
        <v>237.33</v>
      </c>
      <c r="D240">
        <v>220.97</v>
      </c>
      <c r="E240">
        <v>237.81</v>
      </c>
      <c r="F240">
        <v>219.71</v>
      </c>
      <c r="G240" s="1" t="s">
        <v>368</v>
      </c>
      <c r="H240">
        <v>5.0599999999999999E-2</v>
      </c>
      <c r="I240" s="3">
        <f t="shared" si="3"/>
        <v>5.5155269034677344E-2</v>
      </c>
    </row>
    <row r="241" spans="1:9" x14ac:dyDescent="0.35">
      <c r="A241" s="1" t="s">
        <v>366</v>
      </c>
      <c r="B241" s="2">
        <v>45627</v>
      </c>
      <c r="C241">
        <v>250.42</v>
      </c>
      <c r="D241">
        <v>237.27</v>
      </c>
      <c r="E241">
        <v>260.10000000000002</v>
      </c>
      <c r="F241">
        <v>237.16</v>
      </c>
      <c r="G241" s="1" t="s">
        <v>367</v>
      </c>
      <c r="H241">
        <v>5.5199999999999999E-2</v>
      </c>
      <c r="I241" s="3">
        <f t="shared" si="3"/>
        <v>0</v>
      </c>
    </row>
    <row r="242" spans="1:9" x14ac:dyDescent="0.35">
      <c r="A242" s="1" t="s">
        <v>227</v>
      </c>
      <c r="B242" s="2">
        <v>38353</v>
      </c>
      <c r="C242">
        <v>2.16</v>
      </c>
      <c r="D242">
        <v>2.25</v>
      </c>
      <c r="E242">
        <v>2.27</v>
      </c>
      <c r="F242">
        <v>2.0099999999999998</v>
      </c>
      <c r="G242" s="1" t="s">
        <v>365</v>
      </c>
      <c r="H242">
        <v>-2.2599999999999999E-2</v>
      </c>
      <c r="I242" s="3">
        <f t="shared" si="3"/>
        <v>-0.18518518518518523</v>
      </c>
    </row>
    <row r="243" spans="1:9" x14ac:dyDescent="0.35">
      <c r="A243" s="1" t="s">
        <v>227</v>
      </c>
      <c r="B243" s="2">
        <v>38384</v>
      </c>
      <c r="C243">
        <v>1.76</v>
      </c>
      <c r="D243">
        <v>2.15</v>
      </c>
      <c r="E243">
        <v>2.1800000000000002</v>
      </c>
      <c r="F243">
        <v>1.66</v>
      </c>
      <c r="G243" s="1" t="s">
        <v>364</v>
      </c>
      <c r="H243">
        <v>-0.1852</v>
      </c>
      <c r="I243" s="3">
        <f t="shared" si="3"/>
        <v>-2.8409090909090936E-2</v>
      </c>
    </row>
    <row r="244" spans="1:9" x14ac:dyDescent="0.35">
      <c r="A244" s="1" t="s">
        <v>227</v>
      </c>
      <c r="B244" s="2">
        <v>38412</v>
      </c>
      <c r="C244">
        <v>1.71</v>
      </c>
      <c r="D244">
        <v>1.75</v>
      </c>
      <c r="E244">
        <v>1.82</v>
      </c>
      <c r="F244">
        <v>1.64</v>
      </c>
      <c r="G244" s="1" t="s">
        <v>363</v>
      </c>
      <c r="H244">
        <v>-2.8400000000000002E-2</v>
      </c>
      <c r="I244" s="3">
        <f t="shared" si="3"/>
        <v>-5.2631578947368342E-2</v>
      </c>
    </row>
    <row r="245" spans="1:9" x14ac:dyDescent="0.35">
      <c r="A245" s="1" t="s">
        <v>227</v>
      </c>
      <c r="B245" s="2">
        <v>38443</v>
      </c>
      <c r="C245">
        <v>1.62</v>
      </c>
      <c r="D245">
        <v>1.73</v>
      </c>
      <c r="E245">
        <v>1.77</v>
      </c>
      <c r="F245">
        <v>1.53</v>
      </c>
      <c r="G245" s="1" t="s">
        <v>362</v>
      </c>
      <c r="H245">
        <v>-5.2600000000000001E-2</v>
      </c>
      <c r="I245" s="3">
        <f t="shared" si="3"/>
        <v>9.8765432098765371E-2</v>
      </c>
    </row>
    <row r="246" spans="1:9" x14ac:dyDescent="0.35">
      <c r="A246" s="1" t="s">
        <v>227</v>
      </c>
      <c r="B246" s="2">
        <v>38473</v>
      </c>
      <c r="C246">
        <v>1.78</v>
      </c>
      <c r="D246">
        <v>1.61</v>
      </c>
      <c r="E246">
        <v>1.8</v>
      </c>
      <c r="F246">
        <v>1.6</v>
      </c>
      <c r="G246" s="1" t="s">
        <v>198</v>
      </c>
      <c r="H246">
        <v>9.8799999999999999E-2</v>
      </c>
      <c r="I246" s="3">
        <f t="shared" si="3"/>
        <v>-7.3033707865168607E-2</v>
      </c>
    </row>
    <row r="247" spans="1:9" x14ac:dyDescent="0.35">
      <c r="A247" s="1" t="s">
        <v>227</v>
      </c>
      <c r="B247" s="2">
        <v>38504</v>
      </c>
      <c r="C247">
        <v>1.65</v>
      </c>
      <c r="D247">
        <v>1.78</v>
      </c>
      <c r="E247">
        <v>1.85</v>
      </c>
      <c r="F247">
        <v>1.65</v>
      </c>
      <c r="G247" s="1" t="s">
        <v>308</v>
      </c>
      <c r="H247">
        <v>-7.2999999999999995E-2</v>
      </c>
      <c r="I247" s="3">
        <f t="shared" si="3"/>
        <v>0.36969696969696964</v>
      </c>
    </row>
    <row r="248" spans="1:9" x14ac:dyDescent="0.35">
      <c r="A248" s="1" t="s">
        <v>227</v>
      </c>
      <c r="B248" s="2">
        <v>38534</v>
      </c>
      <c r="C248">
        <v>2.2599999999999998</v>
      </c>
      <c r="D248">
        <v>1.66</v>
      </c>
      <c r="E248">
        <v>2.29</v>
      </c>
      <c r="F248">
        <v>1.64</v>
      </c>
      <c r="G248" s="1" t="s">
        <v>361</v>
      </c>
      <c r="H248">
        <v>0.36969999999999997</v>
      </c>
      <c r="I248" s="3">
        <f t="shared" si="3"/>
        <v>-5.7522123893805267E-2</v>
      </c>
    </row>
    <row r="249" spans="1:9" x14ac:dyDescent="0.35">
      <c r="A249" s="1" t="s">
        <v>227</v>
      </c>
      <c r="B249" s="2">
        <v>38565</v>
      </c>
      <c r="C249">
        <v>2.13</v>
      </c>
      <c r="D249">
        <v>2.2400000000000002</v>
      </c>
      <c r="E249">
        <v>2.35</v>
      </c>
      <c r="F249">
        <v>2.1</v>
      </c>
      <c r="G249" s="1" t="s">
        <v>360</v>
      </c>
      <c r="H249">
        <v>-5.7500000000000002E-2</v>
      </c>
      <c r="I249" s="3">
        <f t="shared" si="3"/>
        <v>6.5727699530516492E-2</v>
      </c>
    </row>
    <row r="250" spans="1:9" x14ac:dyDescent="0.35">
      <c r="A250" s="1" t="s">
        <v>227</v>
      </c>
      <c r="B250" s="2">
        <v>38596</v>
      </c>
      <c r="C250">
        <v>2.27</v>
      </c>
      <c r="D250">
        <v>2.13</v>
      </c>
      <c r="E250">
        <v>2.29</v>
      </c>
      <c r="F250">
        <v>2.02</v>
      </c>
      <c r="G250" s="1" t="s">
        <v>359</v>
      </c>
      <c r="H250">
        <v>6.5699999999999995E-2</v>
      </c>
      <c r="I250" s="3">
        <f t="shared" si="3"/>
        <v>-0.12334801762114539</v>
      </c>
    </row>
    <row r="251" spans="1:9" x14ac:dyDescent="0.35">
      <c r="A251" s="1" t="s">
        <v>227</v>
      </c>
      <c r="B251" s="2">
        <v>38626</v>
      </c>
      <c r="C251">
        <v>1.99</v>
      </c>
      <c r="D251">
        <v>2.27</v>
      </c>
      <c r="E251">
        <v>2.35</v>
      </c>
      <c r="F251">
        <v>1.94</v>
      </c>
      <c r="G251" s="1" t="s">
        <v>358</v>
      </c>
      <c r="H251">
        <v>-0.12330000000000001</v>
      </c>
      <c r="I251" s="3">
        <f t="shared" si="3"/>
        <v>0.21608040201005022</v>
      </c>
    </row>
    <row r="252" spans="1:9" x14ac:dyDescent="0.35">
      <c r="A252" s="1" t="s">
        <v>227</v>
      </c>
      <c r="B252" s="2">
        <v>38657</v>
      </c>
      <c r="C252">
        <v>2.42</v>
      </c>
      <c r="D252">
        <v>2</v>
      </c>
      <c r="E252">
        <v>2.4700000000000002</v>
      </c>
      <c r="F252">
        <v>1.98</v>
      </c>
      <c r="G252" s="1" t="s">
        <v>357</v>
      </c>
      <c r="H252">
        <v>0.21609999999999999</v>
      </c>
      <c r="I252" s="3">
        <f t="shared" si="3"/>
        <v>-2.4793388429752088E-2</v>
      </c>
    </row>
    <row r="253" spans="1:9" x14ac:dyDescent="0.35">
      <c r="A253" s="1" t="s">
        <v>227</v>
      </c>
      <c r="B253" s="2">
        <v>38687</v>
      </c>
      <c r="C253">
        <v>2.36</v>
      </c>
      <c r="D253">
        <v>2.44</v>
      </c>
      <c r="E253">
        <v>2.5</v>
      </c>
      <c r="F253">
        <v>2.36</v>
      </c>
      <c r="G253" s="1" t="s">
        <v>356</v>
      </c>
      <c r="H253">
        <v>-2.4799999999999999E-2</v>
      </c>
      <c r="I253" s="3">
        <f t="shared" si="3"/>
        <v>-5.0847457627118502E-2</v>
      </c>
    </row>
    <row r="254" spans="1:9" x14ac:dyDescent="0.35">
      <c r="A254" s="1" t="s">
        <v>227</v>
      </c>
      <c r="B254" s="2">
        <v>38718</v>
      </c>
      <c r="C254">
        <v>2.2400000000000002</v>
      </c>
      <c r="D254">
        <v>2.37</v>
      </c>
      <c r="E254">
        <v>2.4300000000000002</v>
      </c>
      <c r="F254">
        <v>2.15</v>
      </c>
      <c r="G254" s="1" t="s">
        <v>355</v>
      </c>
      <c r="H254">
        <v>-5.0799999999999998E-2</v>
      </c>
      <c r="I254" s="3">
        <f t="shared" si="3"/>
        <v>-0.16517857142857145</v>
      </c>
    </row>
    <row r="255" spans="1:9" x14ac:dyDescent="0.35">
      <c r="A255" s="1" t="s">
        <v>227</v>
      </c>
      <c r="B255" s="2">
        <v>38749</v>
      </c>
      <c r="C255">
        <v>1.87</v>
      </c>
      <c r="D255">
        <v>2.2000000000000002</v>
      </c>
      <c r="E255">
        <v>2.23</v>
      </c>
      <c r="F255">
        <v>1.85</v>
      </c>
      <c r="G255" s="1" t="s">
        <v>354</v>
      </c>
      <c r="H255">
        <v>-0.16520000000000001</v>
      </c>
      <c r="I255" s="3">
        <f t="shared" si="3"/>
        <v>-2.1390374331550818E-2</v>
      </c>
    </row>
    <row r="256" spans="1:9" x14ac:dyDescent="0.35">
      <c r="A256" s="1" t="s">
        <v>227</v>
      </c>
      <c r="B256" s="2">
        <v>38777</v>
      </c>
      <c r="C256">
        <v>1.83</v>
      </c>
      <c r="D256">
        <v>1.87</v>
      </c>
      <c r="E256">
        <v>1.89</v>
      </c>
      <c r="F256">
        <v>1.76</v>
      </c>
      <c r="G256" s="1" t="s">
        <v>353</v>
      </c>
      <c r="H256">
        <v>-2.1399999999999999E-2</v>
      </c>
      <c r="I256" s="3">
        <f t="shared" si="3"/>
        <v>-3.8251366120218615E-2</v>
      </c>
    </row>
    <row r="257" spans="1:9" x14ac:dyDescent="0.35">
      <c r="A257" s="1" t="s">
        <v>227</v>
      </c>
      <c r="B257" s="2">
        <v>38808</v>
      </c>
      <c r="C257">
        <v>1.76</v>
      </c>
      <c r="D257">
        <v>1.83</v>
      </c>
      <c r="E257">
        <v>1.94</v>
      </c>
      <c r="F257">
        <v>1.75</v>
      </c>
      <c r="G257" s="1" t="s">
        <v>162</v>
      </c>
      <c r="H257">
        <v>-3.8300000000000001E-2</v>
      </c>
      <c r="I257" s="3">
        <f t="shared" si="3"/>
        <v>-1.7045454545454562E-2</v>
      </c>
    </row>
    <row r="258" spans="1:9" x14ac:dyDescent="0.35">
      <c r="A258" s="1" t="s">
        <v>227</v>
      </c>
      <c r="B258" s="2">
        <v>38838</v>
      </c>
      <c r="C258">
        <v>1.73</v>
      </c>
      <c r="D258">
        <v>1.76</v>
      </c>
      <c r="E258">
        <v>1.82</v>
      </c>
      <c r="F258">
        <v>1.58</v>
      </c>
      <c r="G258" s="1" t="s">
        <v>192</v>
      </c>
      <c r="H258">
        <v>-1.7000000000000001E-2</v>
      </c>
      <c r="I258" s="3">
        <f t="shared" ref="I258:I321" si="4">IF(A259=A258, (C259-C258)/C258, 0)</f>
        <v>0.11560693641618494</v>
      </c>
    </row>
    <row r="259" spans="1:9" x14ac:dyDescent="0.35">
      <c r="A259" s="1" t="s">
        <v>227</v>
      </c>
      <c r="B259" s="2">
        <v>38869</v>
      </c>
      <c r="C259">
        <v>1.93</v>
      </c>
      <c r="D259">
        <v>1.73</v>
      </c>
      <c r="E259">
        <v>1.94</v>
      </c>
      <c r="F259">
        <v>1.62</v>
      </c>
      <c r="G259" s="1" t="s">
        <v>352</v>
      </c>
      <c r="H259">
        <v>0.11559999999999999</v>
      </c>
      <c r="I259" s="3">
        <f t="shared" si="4"/>
        <v>-0.30569948186528489</v>
      </c>
    </row>
    <row r="260" spans="1:9" x14ac:dyDescent="0.35">
      <c r="A260" s="1" t="s">
        <v>227</v>
      </c>
      <c r="B260" s="2">
        <v>38899</v>
      </c>
      <c r="C260">
        <v>1.34</v>
      </c>
      <c r="D260">
        <v>1.93</v>
      </c>
      <c r="E260">
        <v>1.93</v>
      </c>
      <c r="F260">
        <v>1.3</v>
      </c>
      <c r="G260" s="1" t="s">
        <v>351</v>
      </c>
      <c r="H260">
        <v>-0.30570000000000003</v>
      </c>
      <c r="I260" s="3">
        <f t="shared" si="4"/>
        <v>0.14925373134328354</v>
      </c>
    </row>
    <row r="261" spans="1:9" x14ac:dyDescent="0.35">
      <c r="A261" s="1" t="s">
        <v>227</v>
      </c>
      <c r="B261" s="2">
        <v>38930</v>
      </c>
      <c r="C261">
        <v>1.54</v>
      </c>
      <c r="D261">
        <v>1.33</v>
      </c>
      <c r="E261">
        <v>1.55</v>
      </c>
      <c r="F261">
        <v>1.29</v>
      </c>
      <c r="G261" s="1" t="s">
        <v>306</v>
      </c>
      <c r="H261">
        <v>0.14929999999999999</v>
      </c>
      <c r="I261" s="3">
        <f t="shared" si="4"/>
        <v>4.5454545454545491E-2</v>
      </c>
    </row>
    <row r="262" spans="1:9" x14ac:dyDescent="0.35">
      <c r="A262" s="1" t="s">
        <v>227</v>
      </c>
      <c r="B262" s="2">
        <v>38961</v>
      </c>
      <c r="C262">
        <v>1.61</v>
      </c>
      <c r="D262">
        <v>1.54</v>
      </c>
      <c r="E262">
        <v>1.64</v>
      </c>
      <c r="F262">
        <v>1.48</v>
      </c>
      <c r="G262" s="1" t="s">
        <v>350</v>
      </c>
      <c r="H262">
        <v>4.5499999999999999E-2</v>
      </c>
      <c r="I262" s="3">
        <f t="shared" si="4"/>
        <v>0.18012422360248434</v>
      </c>
    </row>
    <row r="263" spans="1:9" x14ac:dyDescent="0.35">
      <c r="A263" s="1" t="s">
        <v>227</v>
      </c>
      <c r="B263" s="2">
        <v>38991</v>
      </c>
      <c r="C263">
        <v>1.9</v>
      </c>
      <c r="D263">
        <v>1.6</v>
      </c>
      <c r="E263">
        <v>1.93</v>
      </c>
      <c r="F263">
        <v>1.53</v>
      </c>
      <c r="G263" s="1" t="s">
        <v>330</v>
      </c>
      <c r="H263">
        <v>0.18010000000000001</v>
      </c>
      <c r="I263" s="3">
        <f t="shared" si="4"/>
        <v>6.3157894736842163E-2</v>
      </c>
    </row>
    <row r="264" spans="1:9" x14ac:dyDescent="0.35">
      <c r="A264" s="1" t="s">
        <v>227</v>
      </c>
      <c r="B264" s="2">
        <v>39022</v>
      </c>
      <c r="C264">
        <v>2.02</v>
      </c>
      <c r="D264">
        <v>1.91</v>
      </c>
      <c r="E264">
        <v>2.16</v>
      </c>
      <c r="F264">
        <v>1.84</v>
      </c>
      <c r="G264" s="1" t="s">
        <v>349</v>
      </c>
      <c r="H264">
        <v>6.3200000000000006E-2</v>
      </c>
      <c r="I264" s="3">
        <f t="shared" si="4"/>
        <v>-2.4752475247524774E-2</v>
      </c>
    </row>
    <row r="265" spans="1:9" x14ac:dyDescent="0.35">
      <c r="A265" s="1" t="s">
        <v>227</v>
      </c>
      <c r="B265" s="2">
        <v>39052</v>
      </c>
      <c r="C265">
        <v>1.97</v>
      </c>
      <c r="D265">
        <v>2.0099999999999998</v>
      </c>
      <c r="E265">
        <v>2.0299999999999998</v>
      </c>
      <c r="F265">
        <v>1.89</v>
      </c>
      <c r="G265" s="1" t="s">
        <v>207</v>
      </c>
      <c r="H265">
        <v>-2.4799999999999999E-2</v>
      </c>
      <c r="I265" s="3">
        <f t="shared" si="4"/>
        <v>-4.5685279187817299E-2</v>
      </c>
    </row>
    <row r="266" spans="1:9" x14ac:dyDescent="0.35">
      <c r="A266" s="1" t="s">
        <v>227</v>
      </c>
      <c r="B266" s="2">
        <v>39083</v>
      </c>
      <c r="C266">
        <v>1.88</v>
      </c>
      <c r="D266">
        <v>1.93</v>
      </c>
      <c r="E266">
        <v>1.96</v>
      </c>
      <c r="F266">
        <v>1.81</v>
      </c>
      <c r="G266" s="1" t="s">
        <v>277</v>
      </c>
      <c r="H266">
        <v>-4.5699999999999998E-2</v>
      </c>
      <c r="I266" s="3">
        <f t="shared" si="4"/>
        <v>4.2553191489361743E-2</v>
      </c>
    </row>
    <row r="267" spans="1:9" x14ac:dyDescent="0.35">
      <c r="A267" s="1" t="s">
        <v>227</v>
      </c>
      <c r="B267" s="2">
        <v>39114</v>
      </c>
      <c r="C267">
        <v>1.96</v>
      </c>
      <c r="D267">
        <v>1.9</v>
      </c>
      <c r="E267">
        <v>2.1</v>
      </c>
      <c r="F267">
        <v>1.83</v>
      </c>
      <c r="G267" s="1" t="s">
        <v>206</v>
      </c>
      <c r="H267">
        <v>4.2599999999999999E-2</v>
      </c>
      <c r="I267" s="3">
        <f t="shared" si="4"/>
        <v>1.5306122448979605E-2</v>
      </c>
    </row>
    <row r="268" spans="1:9" x14ac:dyDescent="0.35">
      <c r="A268" s="1" t="s">
        <v>227</v>
      </c>
      <c r="B268" s="2">
        <v>39142</v>
      </c>
      <c r="C268">
        <v>1.99</v>
      </c>
      <c r="D268">
        <v>1.97</v>
      </c>
      <c r="E268">
        <v>2.0099999999999998</v>
      </c>
      <c r="F268">
        <v>1.85</v>
      </c>
      <c r="G268" s="1" t="s">
        <v>209</v>
      </c>
      <c r="H268">
        <v>1.5299999999999999E-2</v>
      </c>
      <c r="I268" s="3">
        <f t="shared" si="4"/>
        <v>0.54271356783919589</v>
      </c>
    </row>
    <row r="269" spans="1:9" x14ac:dyDescent="0.35">
      <c r="A269" s="1" t="s">
        <v>227</v>
      </c>
      <c r="B269" s="2">
        <v>39173</v>
      </c>
      <c r="C269">
        <v>3.07</v>
      </c>
      <c r="D269">
        <v>1.99</v>
      </c>
      <c r="E269">
        <v>3.19</v>
      </c>
      <c r="F269">
        <v>1.98</v>
      </c>
      <c r="G269" s="1" t="s">
        <v>348</v>
      </c>
      <c r="H269">
        <v>0.54269999999999996</v>
      </c>
      <c r="I269" s="3">
        <f t="shared" si="4"/>
        <v>0.12703583061889256</v>
      </c>
    </row>
    <row r="270" spans="1:9" x14ac:dyDescent="0.35">
      <c r="A270" s="1" t="s">
        <v>227</v>
      </c>
      <c r="B270" s="2">
        <v>39203</v>
      </c>
      <c r="C270">
        <v>3.46</v>
      </c>
      <c r="D270">
        <v>3.06</v>
      </c>
      <c r="E270">
        <v>3.67</v>
      </c>
      <c r="F270">
        <v>2.98</v>
      </c>
      <c r="G270" s="1" t="s">
        <v>347</v>
      </c>
      <c r="H270">
        <v>0.127</v>
      </c>
      <c r="I270" s="3">
        <f t="shared" si="4"/>
        <v>-1.1560693641618507E-2</v>
      </c>
    </row>
    <row r="271" spans="1:9" x14ac:dyDescent="0.35">
      <c r="A271" s="1" t="s">
        <v>227</v>
      </c>
      <c r="B271" s="2">
        <v>39234</v>
      </c>
      <c r="C271">
        <v>3.42</v>
      </c>
      <c r="D271">
        <v>3.44</v>
      </c>
      <c r="E271">
        <v>3.74</v>
      </c>
      <c r="F271">
        <v>3.34</v>
      </c>
      <c r="G271" s="1" t="s">
        <v>346</v>
      </c>
      <c r="H271">
        <v>-1.1599999999999999E-2</v>
      </c>
      <c r="I271" s="3">
        <f t="shared" si="4"/>
        <v>0.14912280701754393</v>
      </c>
    </row>
    <row r="272" spans="1:9" x14ac:dyDescent="0.35">
      <c r="A272" s="1" t="s">
        <v>227</v>
      </c>
      <c r="B272" s="2">
        <v>39264</v>
      </c>
      <c r="C272">
        <v>3.93</v>
      </c>
      <c r="D272">
        <v>3.44</v>
      </c>
      <c r="E272">
        <v>4.45</v>
      </c>
      <c r="F272">
        <v>3.4</v>
      </c>
      <c r="G272" s="1" t="s">
        <v>345</v>
      </c>
      <c r="H272">
        <v>0.14910000000000001</v>
      </c>
      <c r="I272" s="3">
        <f t="shared" si="4"/>
        <v>1.7811704834605556E-2</v>
      </c>
    </row>
    <row r="273" spans="1:9" x14ac:dyDescent="0.35">
      <c r="A273" s="1" t="s">
        <v>227</v>
      </c>
      <c r="B273" s="2">
        <v>39295</v>
      </c>
      <c r="C273">
        <v>4</v>
      </c>
      <c r="D273">
        <v>3.9</v>
      </c>
      <c r="E273">
        <v>4.04</v>
      </c>
      <c r="F273">
        <v>3.5</v>
      </c>
      <c r="G273" s="1" t="s">
        <v>313</v>
      </c>
      <c r="H273">
        <v>1.78E-2</v>
      </c>
      <c r="I273" s="3">
        <f t="shared" si="4"/>
        <v>0.16500000000000004</v>
      </c>
    </row>
    <row r="274" spans="1:9" x14ac:dyDescent="0.35">
      <c r="A274" s="1" t="s">
        <v>227</v>
      </c>
      <c r="B274" s="2">
        <v>39326</v>
      </c>
      <c r="C274">
        <v>4.66</v>
      </c>
      <c r="D274">
        <v>4</v>
      </c>
      <c r="E274">
        <v>4.71</v>
      </c>
      <c r="F274">
        <v>3.99</v>
      </c>
      <c r="G274" s="1" t="s">
        <v>344</v>
      </c>
      <c r="H274">
        <v>0.16500000000000001</v>
      </c>
      <c r="I274" s="3">
        <f t="shared" si="4"/>
        <v>-4.2918454935622352E-2</v>
      </c>
    </row>
    <row r="275" spans="1:9" x14ac:dyDescent="0.35">
      <c r="A275" s="1" t="s">
        <v>227</v>
      </c>
      <c r="B275" s="2">
        <v>39356</v>
      </c>
      <c r="C275">
        <v>4.46</v>
      </c>
      <c r="D275">
        <v>4.67</v>
      </c>
      <c r="E275">
        <v>5.05</v>
      </c>
      <c r="F275">
        <v>4.16</v>
      </c>
      <c r="G275" s="1" t="s">
        <v>343</v>
      </c>
      <c r="H275">
        <v>-4.2900000000000001E-2</v>
      </c>
      <c r="I275" s="3">
        <f t="shared" si="4"/>
        <v>1.5695067264574054E-2</v>
      </c>
    </row>
    <row r="276" spans="1:9" x14ac:dyDescent="0.35">
      <c r="A276" s="1" t="s">
        <v>227</v>
      </c>
      <c r="B276" s="2">
        <v>39387</v>
      </c>
      <c r="C276">
        <v>4.53</v>
      </c>
      <c r="D276">
        <v>4.3899999999999997</v>
      </c>
      <c r="E276">
        <v>4.57</v>
      </c>
      <c r="F276">
        <v>3.83</v>
      </c>
      <c r="G276" s="1" t="s">
        <v>342</v>
      </c>
      <c r="H276">
        <v>1.5699999999999999E-2</v>
      </c>
      <c r="I276" s="3">
        <f t="shared" si="4"/>
        <v>2.2075055187637891E-2</v>
      </c>
    </row>
    <row r="277" spans="1:9" x14ac:dyDescent="0.35">
      <c r="A277" s="1" t="s">
        <v>227</v>
      </c>
      <c r="B277" s="2">
        <v>39417</v>
      </c>
      <c r="C277">
        <v>4.63</v>
      </c>
      <c r="D277">
        <v>4.5</v>
      </c>
      <c r="E277">
        <v>4.8</v>
      </c>
      <c r="F277">
        <v>4.1900000000000004</v>
      </c>
      <c r="G277" s="1" t="s">
        <v>341</v>
      </c>
      <c r="H277">
        <v>2.2100000000000002E-2</v>
      </c>
      <c r="I277" s="3">
        <f t="shared" si="4"/>
        <v>-0.16198704103671707</v>
      </c>
    </row>
    <row r="278" spans="1:9" x14ac:dyDescent="0.35">
      <c r="A278" s="1" t="s">
        <v>227</v>
      </c>
      <c r="B278" s="2">
        <v>39448</v>
      </c>
      <c r="C278">
        <v>3.88</v>
      </c>
      <c r="D278">
        <v>4.7699999999999996</v>
      </c>
      <c r="E278">
        <v>4.87</v>
      </c>
      <c r="F278">
        <v>3.44</v>
      </c>
      <c r="G278" s="1" t="s">
        <v>340</v>
      </c>
      <c r="H278">
        <v>-0.16200000000000001</v>
      </c>
      <c r="I278" s="3">
        <f t="shared" si="4"/>
        <v>-0.17010309278350508</v>
      </c>
    </row>
    <row r="279" spans="1:9" x14ac:dyDescent="0.35">
      <c r="A279" s="1" t="s">
        <v>227</v>
      </c>
      <c r="B279" s="2">
        <v>39479</v>
      </c>
      <c r="C279">
        <v>3.22</v>
      </c>
      <c r="D279">
        <v>3.95</v>
      </c>
      <c r="E279">
        <v>3.97</v>
      </c>
      <c r="F279">
        <v>3.2</v>
      </c>
      <c r="G279" s="1" t="s">
        <v>339</v>
      </c>
      <c r="H279">
        <v>-0.1701</v>
      </c>
      <c r="I279" s="3">
        <f t="shared" si="4"/>
        <v>0.10559006211180119</v>
      </c>
    </row>
    <row r="280" spans="1:9" x14ac:dyDescent="0.35">
      <c r="A280" s="1" t="s">
        <v>227</v>
      </c>
      <c r="B280" s="2">
        <v>39508</v>
      </c>
      <c r="C280">
        <v>3.56</v>
      </c>
      <c r="D280">
        <v>3.18</v>
      </c>
      <c r="E280">
        <v>3.85</v>
      </c>
      <c r="F280">
        <v>3.06</v>
      </c>
      <c r="G280" s="1" t="s">
        <v>333</v>
      </c>
      <c r="H280">
        <v>0.1056</v>
      </c>
      <c r="I280" s="3">
        <f t="shared" si="4"/>
        <v>0.10393258426966295</v>
      </c>
    </row>
    <row r="281" spans="1:9" x14ac:dyDescent="0.35">
      <c r="A281" s="1" t="s">
        <v>227</v>
      </c>
      <c r="B281" s="2">
        <v>39539</v>
      </c>
      <c r="C281">
        <v>3.93</v>
      </c>
      <c r="D281">
        <v>3.65</v>
      </c>
      <c r="E281">
        <v>4.13</v>
      </c>
      <c r="F281">
        <v>3.53</v>
      </c>
      <c r="G281" s="1" t="s">
        <v>338</v>
      </c>
      <c r="H281">
        <v>0.10390000000000001</v>
      </c>
      <c r="I281" s="3">
        <f t="shared" si="4"/>
        <v>3.8167938931297683E-2</v>
      </c>
    </row>
    <row r="282" spans="1:9" x14ac:dyDescent="0.35">
      <c r="A282" s="1" t="s">
        <v>227</v>
      </c>
      <c r="B282" s="2">
        <v>39569</v>
      </c>
      <c r="C282">
        <v>4.08</v>
      </c>
      <c r="D282">
        <v>3.92</v>
      </c>
      <c r="E282">
        <v>4.24</v>
      </c>
      <c r="F282">
        <v>3.58</v>
      </c>
      <c r="G282" s="1" t="s">
        <v>337</v>
      </c>
      <c r="H282">
        <v>3.8199999999999998E-2</v>
      </c>
      <c r="I282" s="3">
        <f t="shared" si="4"/>
        <v>-0.1004901960784314</v>
      </c>
    </row>
    <row r="283" spans="1:9" x14ac:dyDescent="0.35">
      <c r="A283" s="1" t="s">
        <v>227</v>
      </c>
      <c r="B283" s="2">
        <v>39600</v>
      </c>
      <c r="C283">
        <v>3.67</v>
      </c>
      <c r="D283">
        <v>4.0599999999999996</v>
      </c>
      <c r="E283">
        <v>4.24</v>
      </c>
      <c r="F283">
        <v>3.63</v>
      </c>
      <c r="G283" s="1" t="s">
        <v>336</v>
      </c>
      <c r="H283">
        <v>-0.10050000000000001</v>
      </c>
      <c r="I283" s="3">
        <f t="shared" si="4"/>
        <v>4.0871934604904611E-2</v>
      </c>
    </row>
    <row r="284" spans="1:9" x14ac:dyDescent="0.35">
      <c r="A284" s="1" t="s">
        <v>227</v>
      </c>
      <c r="B284" s="2">
        <v>39630</v>
      </c>
      <c r="C284">
        <v>3.82</v>
      </c>
      <c r="D284">
        <v>3.61</v>
      </c>
      <c r="E284">
        <v>4.12</v>
      </c>
      <c r="F284">
        <v>3.15</v>
      </c>
      <c r="G284" s="1" t="s">
        <v>335</v>
      </c>
      <c r="H284">
        <v>4.0899999999999999E-2</v>
      </c>
      <c r="I284" s="3">
        <f t="shared" si="4"/>
        <v>5.7591623036649268E-2</v>
      </c>
    </row>
    <row r="285" spans="1:9" x14ac:dyDescent="0.35">
      <c r="A285" s="1" t="s">
        <v>227</v>
      </c>
      <c r="B285" s="2">
        <v>39661</v>
      </c>
      <c r="C285">
        <v>4.04</v>
      </c>
      <c r="D285">
        <v>3.82</v>
      </c>
      <c r="E285">
        <v>4.59</v>
      </c>
      <c r="F285">
        <v>3.7</v>
      </c>
      <c r="G285" s="1" t="s">
        <v>334</v>
      </c>
      <c r="H285">
        <v>5.7599999999999998E-2</v>
      </c>
      <c r="I285" s="3">
        <f t="shared" si="4"/>
        <v>-9.9009900990098987E-2</v>
      </c>
    </row>
    <row r="286" spans="1:9" x14ac:dyDescent="0.35">
      <c r="A286" s="1" t="s">
        <v>227</v>
      </c>
      <c r="B286" s="2">
        <v>39692</v>
      </c>
      <c r="C286">
        <v>3.64</v>
      </c>
      <c r="D286">
        <v>4.16</v>
      </c>
      <c r="E286">
        <v>4.34</v>
      </c>
      <c r="F286">
        <v>3.07</v>
      </c>
      <c r="G286" s="1" t="s">
        <v>333</v>
      </c>
      <c r="H286">
        <v>-9.9000000000000005E-2</v>
      </c>
      <c r="I286" s="3">
        <f t="shared" si="4"/>
        <v>-0.21428571428571436</v>
      </c>
    </row>
    <row r="287" spans="1:9" x14ac:dyDescent="0.35">
      <c r="A287" s="1" t="s">
        <v>227</v>
      </c>
      <c r="B287" s="2">
        <v>39722</v>
      </c>
      <c r="C287">
        <v>2.86</v>
      </c>
      <c r="D287">
        <v>3.59</v>
      </c>
      <c r="E287">
        <v>3.6</v>
      </c>
      <c r="F287">
        <v>2.17</v>
      </c>
      <c r="G287" s="1" t="s">
        <v>332</v>
      </c>
      <c r="H287">
        <v>-0.21429999999999999</v>
      </c>
      <c r="I287" s="3">
        <f t="shared" si="4"/>
        <v>-0.25524475524475526</v>
      </c>
    </row>
    <row r="288" spans="1:9" x14ac:dyDescent="0.35">
      <c r="A288" s="1" t="s">
        <v>227</v>
      </c>
      <c r="B288" s="2">
        <v>39753</v>
      </c>
      <c r="C288">
        <v>2.13</v>
      </c>
      <c r="D288">
        <v>2.82</v>
      </c>
      <c r="E288">
        <v>2.94</v>
      </c>
      <c r="F288">
        <v>1.73</v>
      </c>
      <c r="G288" s="1" t="s">
        <v>331</v>
      </c>
      <c r="H288">
        <v>-0.25519999999999998</v>
      </c>
      <c r="I288" s="3">
        <f t="shared" si="4"/>
        <v>0.20187793427230055</v>
      </c>
    </row>
    <row r="289" spans="1:9" x14ac:dyDescent="0.35">
      <c r="A289" s="1" t="s">
        <v>227</v>
      </c>
      <c r="B289" s="2">
        <v>39783</v>
      </c>
      <c r="C289">
        <v>2.56</v>
      </c>
      <c r="D289">
        <v>2.1</v>
      </c>
      <c r="E289">
        <v>2.74</v>
      </c>
      <c r="F289">
        <v>1.94</v>
      </c>
      <c r="G289" s="1" t="s">
        <v>330</v>
      </c>
      <c r="H289">
        <v>0.2019</v>
      </c>
      <c r="I289" s="3">
        <f t="shared" si="4"/>
        <v>0.14843749999999994</v>
      </c>
    </row>
    <row r="290" spans="1:9" x14ac:dyDescent="0.35">
      <c r="A290" s="1" t="s">
        <v>227</v>
      </c>
      <c r="B290" s="2">
        <v>39814</v>
      </c>
      <c r="C290">
        <v>2.94</v>
      </c>
      <c r="D290">
        <v>2.57</v>
      </c>
      <c r="E290">
        <v>2.99</v>
      </c>
      <c r="F290">
        <v>2.38</v>
      </c>
      <c r="G290" s="1" t="s">
        <v>329</v>
      </c>
      <c r="H290">
        <v>0.1484</v>
      </c>
      <c r="I290" s="3">
        <f t="shared" si="4"/>
        <v>0.10204081632653071</v>
      </c>
    </row>
    <row r="291" spans="1:9" x14ac:dyDescent="0.35">
      <c r="A291" s="1" t="s">
        <v>227</v>
      </c>
      <c r="B291" s="2">
        <v>39845</v>
      </c>
      <c r="C291">
        <v>3.24</v>
      </c>
      <c r="D291">
        <v>2.93</v>
      </c>
      <c r="E291">
        <v>3.37</v>
      </c>
      <c r="F291">
        <v>2.91</v>
      </c>
      <c r="G291" s="1" t="s">
        <v>328</v>
      </c>
      <c r="H291">
        <v>0.10199999999999999</v>
      </c>
      <c r="I291" s="3">
        <f t="shared" si="4"/>
        <v>0.13271604938271594</v>
      </c>
    </row>
    <row r="292" spans="1:9" x14ac:dyDescent="0.35">
      <c r="A292" s="1" t="s">
        <v>227</v>
      </c>
      <c r="B292" s="2">
        <v>39873</v>
      </c>
      <c r="C292">
        <v>3.67</v>
      </c>
      <c r="D292">
        <v>3.2</v>
      </c>
      <c r="E292">
        <v>3.78</v>
      </c>
      <c r="F292">
        <v>2.99</v>
      </c>
      <c r="G292" s="1" t="s">
        <v>327</v>
      </c>
      <c r="H292">
        <v>0.13270000000000001</v>
      </c>
      <c r="I292" s="3">
        <f t="shared" si="4"/>
        <v>9.8092643051771206E-2</v>
      </c>
    </row>
    <row r="293" spans="1:9" x14ac:dyDescent="0.35">
      <c r="A293" s="1" t="s">
        <v>227</v>
      </c>
      <c r="B293" s="2">
        <v>39904</v>
      </c>
      <c r="C293">
        <v>4.03</v>
      </c>
      <c r="D293">
        <v>3.65</v>
      </c>
      <c r="E293">
        <v>4.33</v>
      </c>
      <c r="F293">
        <v>3.59</v>
      </c>
      <c r="G293" s="1" t="s">
        <v>326</v>
      </c>
      <c r="H293">
        <v>9.8100000000000007E-2</v>
      </c>
      <c r="I293" s="3">
        <f t="shared" si="4"/>
        <v>-3.2258064516129115E-2</v>
      </c>
    </row>
    <row r="294" spans="1:9" x14ac:dyDescent="0.35">
      <c r="A294" s="1" t="s">
        <v>227</v>
      </c>
      <c r="B294" s="2">
        <v>39934</v>
      </c>
      <c r="C294">
        <v>3.9</v>
      </c>
      <c r="D294">
        <v>4.0199999999999996</v>
      </c>
      <c r="E294">
        <v>4.18</v>
      </c>
      <c r="F294">
        <v>3.65</v>
      </c>
      <c r="G294" s="1" t="s">
        <v>325</v>
      </c>
      <c r="H294">
        <v>-3.2300000000000002E-2</v>
      </c>
      <c r="I294" s="3">
        <f t="shared" si="4"/>
        <v>7.1794871794871748E-2</v>
      </c>
    </row>
    <row r="295" spans="1:9" x14ac:dyDescent="0.35">
      <c r="A295" s="1" t="s">
        <v>227</v>
      </c>
      <c r="B295" s="2">
        <v>39965</v>
      </c>
      <c r="C295">
        <v>4.18</v>
      </c>
      <c r="D295">
        <v>3.91</v>
      </c>
      <c r="E295">
        <v>4.43</v>
      </c>
      <c r="F295">
        <v>3.81</v>
      </c>
      <c r="G295" s="1" t="s">
        <v>324</v>
      </c>
      <c r="H295">
        <v>7.1800000000000003E-2</v>
      </c>
      <c r="I295" s="3">
        <f t="shared" si="4"/>
        <v>2.6315789473684289E-2</v>
      </c>
    </row>
    <row r="296" spans="1:9" x14ac:dyDescent="0.35">
      <c r="A296" s="1" t="s">
        <v>227</v>
      </c>
      <c r="B296" s="2">
        <v>39995</v>
      </c>
      <c r="C296">
        <v>4.29</v>
      </c>
      <c r="D296">
        <v>4.22</v>
      </c>
      <c r="E296">
        <v>4.72</v>
      </c>
      <c r="F296">
        <v>3.77</v>
      </c>
      <c r="G296" s="1" t="s">
        <v>313</v>
      </c>
      <c r="H296">
        <v>2.63E-2</v>
      </c>
      <c r="I296" s="3">
        <f t="shared" si="4"/>
        <v>-5.3613053613053713E-2</v>
      </c>
    </row>
    <row r="297" spans="1:9" x14ac:dyDescent="0.35">
      <c r="A297" s="1" t="s">
        <v>227</v>
      </c>
      <c r="B297" s="2">
        <v>40026</v>
      </c>
      <c r="C297">
        <v>4.0599999999999996</v>
      </c>
      <c r="D297">
        <v>4.33</v>
      </c>
      <c r="E297">
        <v>4.41</v>
      </c>
      <c r="F297">
        <v>4.01</v>
      </c>
      <c r="G297" s="1" t="s">
        <v>323</v>
      </c>
      <c r="H297">
        <v>-5.3600000000000002E-2</v>
      </c>
      <c r="I297" s="3">
        <f t="shared" si="4"/>
        <v>0.15024630541871931</v>
      </c>
    </row>
    <row r="298" spans="1:9" x14ac:dyDescent="0.35">
      <c r="A298" s="1" t="s">
        <v>227</v>
      </c>
      <c r="B298" s="2">
        <v>40057</v>
      </c>
      <c r="C298">
        <v>4.67</v>
      </c>
      <c r="D298">
        <v>4.04</v>
      </c>
      <c r="E298">
        <v>4.72</v>
      </c>
      <c r="F298">
        <v>3.88</v>
      </c>
      <c r="G298" s="1" t="s">
        <v>322</v>
      </c>
      <c r="H298">
        <v>0.1502</v>
      </c>
      <c r="I298" s="3">
        <f t="shared" si="4"/>
        <v>0.27194860813704508</v>
      </c>
    </row>
    <row r="299" spans="1:9" x14ac:dyDescent="0.35">
      <c r="A299" s="1" t="s">
        <v>227</v>
      </c>
      <c r="B299" s="2">
        <v>40087</v>
      </c>
      <c r="C299">
        <v>5.94</v>
      </c>
      <c r="D299">
        <v>4.62</v>
      </c>
      <c r="E299">
        <v>6.28</v>
      </c>
      <c r="F299">
        <v>4.41</v>
      </c>
      <c r="G299" s="1" t="s">
        <v>321</v>
      </c>
      <c r="H299">
        <v>0.27189999999999998</v>
      </c>
      <c r="I299" s="3">
        <f t="shared" si="4"/>
        <v>0.14478114478114468</v>
      </c>
    </row>
    <row r="300" spans="1:9" x14ac:dyDescent="0.35">
      <c r="A300" s="1" t="s">
        <v>227</v>
      </c>
      <c r="B300" s="2">
        <v>40118</v>
      </c>
      <c r="C300">
        <v>6.8</v>
      </c>
      <c r="D300">
        <v>5.93</v>
      </c>
      <c r="E300">
        <v>6.8</v>
      </c>
      <c r="F300">
        <v>5.81</v>
      </c>
      <c r="G300" s="1" t="s">
        <v>320</v>
      </c>
      <c r="H300">
        <v>0.14480000000000001</v>
      </c>
      <c r="I300" s="3">
        <f t="shared" si="4"/>
        <v>-1.0294117647058735E-2</v>
      </c>
    </row>
    <row r="301" spans="1:9" x14ac:dyDescent="0.35">
      <c r="A301" s="1" t="s">
        <v>227</v>
      </c>
      <c r="B301" s="2">
        <v>40148</v>
      </c>
      <c r="C301">
        <v>6.73</v>
      </c>
      <c r="D301">
        <v>6.85</v>
      </c>
      <c r="E301">
        <v>7.3</v>
      </c>
      <c r="F301">
        <v>6.28</v>
      </c>
      <c r="G301" s="1" t="s">
        <v>319</v>
      </c>
      <c r="H301">
        <v>-1.03E-2</v>
      </c>
      <c r="I301" s="3">
        <f t="shared" si="4"/>
        <v>-6.8350668647845586E-2</v>
      </c>
    </row>
    <row r="302" spans="1:9" x14ac:dyDescent="0.35">
      <c r="A302" s="1" t="s">
        <v>227</v>
      </c>
      <c r="B302" s="2">
        <v>40179</v>
      </c>
      <c r="C302">
        <v>6.27</v>
      </c>
      <c r="D302">
        <v>6.81</v>
      </c>
      <c r="E302">
        <v>6.83</v>
      </c>
      <c r="F302">
        <v>5.91</v>
      </c>
      <c r="G302" s="1" t="s">
        <v>318</v>
      </c>
      <c r="H302">
        <v>-6.8400000000000002E-2</v>
      </c>
      <c r="I302" s="3">
        <f t="shared" si="4"/>
        <v>-5.5821371610845244E-2</v>
      </c>
    </row>
    <row r="303" spans="1:9" x14ac:dyDescent="0.35">
      <c r="A303" s="1" t="s">
        <v>227</v>
      </c>
      <c r="B303" s="2">
        <v>40210</v>
      </c>
      <c r="C303">
        <v>5.92</v>
      </c>
      <c r="D303">
        <v>6.16</v>
      </c>
      <c r="E303">
        <v>6.24</v>
      </c>
      <c r="F303">
        <v>5.69</v>
      </c>
      <c r="G303" s="1" t="s">
        <v>317</v>
      </c>
      <c r="H303">
        <v>-5.5800000000000002E-2</v>
      </c>
      <c r="I303" s="3">
        <f t="shared" si="4"/>
        <v>0.14695945945945948</v>
      </c>
    </row>
    <row r="304" spans="1:9" x14ac:dyDescent="0.35">
      <c r="A304" s="1" t="s">
        <v>227</v>
      </c>
      <c r="B304" s="2">
        <v>40238</v>
      </c>
      <c r="C304">
        <v>6.79</v>
      </c>
      <c r="D304">
        <v>5.94</v>
      </c>
      <c r="E304">
        <v>6.91</v>
      </c>
      <c r="F304">
        <v>5.88</v>
      </c>
      <c r="G304" s="1" t="s">
        <v>184</v>
      </c>
      <c r="H304">
        <v>0.14699999999999999</v>
      </c>
      <c r="I304" s="3">
        <f t="shared" si="4"/>
        <v>1.0309278350515505E-2</v>
      </c>
    </row>
    <row r="305" spans="1:9" x14ac:dyDescent="0.35">
      <c r="A305" s="1" t="s">
        <v>227</v>
      </c>
      <c r="B305" s="2">
        <v>40269</v>
      </c>
      <c r="C305">
        <v>6.86</v>
      </c>
      <c r="D305">
        <v>6.79</v>
      </c>
      <c r="E305">
        <v>7.55</v>
      </c>
      <c r="F305">
        <v>6.54</v>
      </c>
      <c r="G305" s="1" t="s">
        <v>316</v>
      </c>
      <c r="H305">
        <v>1.03E-2</v>
      </c>
      <c r="I305" s="3">
        <f t="shared" si="4"/>
        <v>-8.6005830903790187E-2</v>
      </c>
    </row>
    <row r="306" spans="1:9" x14ac:dyDescent="0.35">
      <c r="A306" s="1" t="s">
        <v>227</v>
      </c>
      <c r="B306" s="2">
        <v>40299</v>
      </c>
      <c r="C306">
        <v>6.27</v>
      </c>
      <c r="D306">
        <v>6.86</v>
      </c>
      <c r="E306">
        <v>6.97</v>
      </c>
      <c r="F306">
        <v>5.88</v>
      </c>
      <c r="G306" s="1" t="s">
        <v>315</v>
      </c>
      <c r="H306">
        <v>-8.5999999999999993E-2</v>
      </c>
      <c r="I306" s="3">
        <f t="shared" si="4"/>
        <v>-0.12918660287081335</v>
      </c>
    </row>
    <row r="307" spans="1:9" x14ac:dyDescent="0.35">
      <c r="A307" s="1" t="s">
        <v>227</v>
      </c>
      <c r="B307" s="2">
        <v>40330</v>
      </c>
      <c r="C307">
        <v>5.46</v>
      </c>
      <c r="D307">
        <v>6.25</v>
      </c>
      <c r="E307">
        <v>6.46</v>
      </c>
      <c r="F307">
        <v>5.3</v>
      </c>
      <c r="G307" s="1" t="s">
        <v>314</v>
      </c>
      <c r="H307">
        <v>-0.12920000000000001</v>
      </c>
      <c r="I307" s="3">
        <f t="shared" si="4"/>
        <v>7.8754578754578697E-2</v>
      </c>
    </row>
    <row r="308" spans="1:9" x14ac:dyDescent="0.35">
      <c r="A308" s="1" t="s">
        <v>227</v>
      </c>
      <c r="B308" s="2">
        <v>40360</v>
      </c>
      <c r="C308">
        <v>5.89</v>
      </c>
      <c r="D308">
        <v>5.45</v>
      </c>
      <c r="E308">
        <v>6.24</v>
      </c>
      <c r="F308">
        <v>5.29</v>
      </c>
      <c r="G308" s="1" t="s">
        <v>313</v>
      </c>
      <c r="H308">
        <v>7.8799999999999995E-2</v>
      </c>
      <c r="I308" s="3">
        <f t="shared" si="4"/>
        <v>5.9422750424448313E-2</v>
      </c>
    </row>
    <row r="309" spans="1:9" x14ac:dyDescent="0.35">
      <c r="A309" s="1" t="s">
        <v>227</v>
      </c>
      <c r="B309" s="2">
        <v>40391</v>
      </c>
      <c r="C309">
        <v>6.24</v>
      </c>
      <c r="D309">
        <v>5.96</v>
      </c>
      <c r="E309">
        <v>6.54</v>
      </c>
      <c r="F309">
        <v>5.88</v>
      </c>
      <c r="G309" s="1" t="s">
        <v>310</v>
      </c>
      <c r="H309">
        <v>5.9400000000000001E-2</v>
      </c>
      <c r="I309" s="3">
        <f t="shared" si="4"/>
        <v>0.25801282051282043</v>
      </c>
    </row>
    <row r="310" spans="1:9" x14ac:dyDescent="0.35">
      <c r="A310" s="1" t="s">
        <v>227</v>
      </c>
      <c r="B310" s="2">
        <v>40422</v>
      </c>
      <c r="C310">
        <v>7.85</v>
      </c>
      <c r="D310">
        <v>6.32</v>
      </c>
      <c r="E310">
        <v>8.09</v>
      </c>
      <c r="F310">
        <v>6.31</v>
      </c>
      <c r="G310" s="1" t="s">
        <v>312</v>
      </c>
      <c r="H310">
        <v>0.25800000000000001</v>
      </c>
      <c r="I310" s="3">
        <f t="shared" si="4"/>
        <v>5.2229299363057348E-2</v>
      </c>
    </row>
    <row r="311" spans="1:9" x14ac:dyDescent="0.35">
      <c r="A311" s="1" t="s">
        <v>227</v>
      </c>
      <c r="B311" s="2">
        <v>40452</v>
      </c>
      <c r="C311">
        <v>8.26</v>
      </c>
      <c r="D311">
        <v>7.85</v>
      </c>
      <c r="E311">
        <v>8.6</v>
      </c>
      <c r="F311">
        <v>7.57</v>
      </c>
      <c r="G311" s="1" t="s">
        <v>191</v>
      </c>
      <c r="H311">
        <v>5.2200000000000003E-2</v>
      </c>
      <c r="I311" s="3">
        <f t="shared" si="4"/>
        <v>6.1743341404358332E-2</v>
      </c>
    </row>
    <row r="312" spans="1:9" x14ac:dyDescent="0.35">
      <c r="A312" s="1" t="s">
        <v>227</v>
      </c>
      <c r="B312" s="2">
        <v>40483</v>
      </c>
      <c r="C312">
        <v>8.77</v>
      </c>
      <c r="D312">
        <v>8.2200000000000006</v>
      </c>
      <c r="E312">
        <v>9.09</v>
      </c>
      <c r="F312">
        <v>7.84</v>
      </c>
      <c r="G312" s="1" t="s">
        <v>311</v>
      </c>
      <c r="H312">
        <v>6.1699999999999998E-2</v>
      </c>
      <c r="I312" s="3">
        <f t="shared" si="4"/>
        <v>2.6225769669327301E-2</v>
      </c>
    </row>
    <row r="313" spans="1:9" x14ac:dyDescent="0.35">
      <c r="A313" s="1" t="s">
        <v>227</v>
      </c>
      <c r="B313" s="2">
        <v>40513</v>
      </c>
      <c r="C313">
        <v>9</v>
      </c>
      <c r="D313">
        <v>8.9600000000000009</v>
      </c>
      <c r="E313">
        <v>9.2799999999999994</v>
      </c>
      <c r="F313">
        <v>8.65</v>
      </c>
      <c r="G313" s="1" t="s">
        <v>201</v>
      </c>
      <c r="H313">
        <v>2.6200000000000001E-2</v>
      </c>
      <c r="I313" s="3">
        <f t="shared" si="4"/>
        <v>-5.7777777777777733E-2</v>
      </c>
    </row>
    <row r="314" spans="1:9" x14ac:dyDescent="0.35">
      <c r="A314" s="1" t="s">
        <v>227</v>
      </c>
      <c r="B314" s="2">
        <v>40544</v>
      </c>
      <c r="C314">
        <v>8.48</v>
      </c>
      <c r="D314">
        <v>9.07</v>
      </c>
      <c r="E314">
        <v>9.58</v>
      </c>
      <c r="F314">
        <v>8.35</v>
      </c>
      <c r="G314" s="1" t="s">
        <v>310</v>
      </c>
      <c r="H314">
        <v>-5.7799999999999997E-2</v>
      </c>
      <c r="I314" s="3">
        <f t="shared" si="4"/>
        <v>2.1226415094339587E-2</v>
      </c>
    </row>
    <row r="315" spans="1:9" x14ac:dyDescent="0.35">
      <c r="A315" s="1" t="s">
        <v>227</v>
      </c>
      <c r="B315" s="2">
        <v>40575</v>
      </c>
      <c r="C315">
        <v>8.66</v>
      </c>
      <c r="D315">
        <v>8.5299999999999994</v>
      </c>
      <c r="E315">
        <v>9.57</v>
      </c>
      <c r="F315">
        <v>8.48</v>
      </c>
      <c r="G315" s="1" t="s">
        <v>282</v>
      </c>
      <c r="H315">
        <v>2.12E-2</v>
      </c>
      <c r="I315" s="3">
        <f t="shared" si="4"/>
        <v>4.041570438799072E-2</v>
      </c>
    </row>
    <row r="316" spans="1:9" x14ac:dyDescent="0.35">
      <c r="A316" s="1" t="s">
        <v>227</v>
      </c>
      <c r="B316" s="2">
        <v>40603</v>
      </c>
      <c r="C316">
        <v>9.01</v>
      </c>
      <c r="D316">
        <v>8.68</v>
      </c>
      <c r="E316">
        <v>9.08</v>
      </c>
      <c r="F316">
        <v>8.0299999999999994</v>
      </c>
      <c r="G316" s="1" t="s">
        <v>309</v>
      </c>
      <c r="H316">
        <v>4.0399999999999998E-2</v>
      </c>
      <c r="I316" s="3">
        <f t="shared" si="4"/>
        <v>8.6570477247502706E-2</v>
      </c>
    </row>
    <row r="317" spans="1:9" x14ac:dyDescent="0.35">
      <c r="A317" s="1" t="s">
        <v>227</v>
      </c>
      <c r="B317" s="2">
        <v>40634</v>
      </c>
      <c r="C317">
        <v>9.7899999999999991</v>
      </c>
      <c r="D317">
        <v>9.08</v>
      </c>
      <c r="E317">
        <v>9.89</v>
      </c>
      <c r="F317">
        <v>8.77</v>
      </c>
      <c r="G317" s="1" t="s">
        <v>198</v>
      </c>
      <c r="H317">
        <v>8.6599999999999996E-2</v>
      </c>
      <c r="I317" s="3">
        <f t="shared" si="4"/>
        <v>4.085801838610922E-3</v>
      </c>
    </row>
    <row r="318" spans="1:9" x14ac:dyDescent="0.35">
      <c r="A318" s="1" t="s">
        <v>227</v>
      </c>
      <c r="B318" s="2">
        <v>40664</v>
      </c>
      <c r="C318">
        <v>9.83</v>
      </c>
      <c r="D318">
        <v>9.83</v>
      </c>
      <c r="E318">
        <v>10.32</v>
      </c>
      <c r="F318">
        <v>9.5399999999999991</v>
      </c>
      <c r="G318" s="1" t="s">
        <v>308</v>
      </c>
      <c r="H318">
        <v>4.1000000000000003E-3</v>
      </c>
      <c r="I318" s="3">
        <f t="shared" si="4"/>
        <v>3.9674465920651124E-2</v>
      </c>
    </row>
    <row r="319" spans="1:9" x14ac:dyDescent="0.35">
      <c r="A319" s="1" t="s">
        <v>227</v>
      </c>
      <c r="B319" s="2">
        <v>40695</v>
      </c>
      <c r="C319">
        <v>10.220000000000001</v>
      </c>
      <c r="D319">
        <v>9.8000000000000007</v>
      </c>
      <c r="E319">
        <v>10.31</v>
      </c>
      <c r="F319">
        <v>9.08</v>
      </c>
      <c r="G319" s="1" t="s">
        <v>307</v>
      </c>
      <c r="H319">
        <v>3.9699999999999999E-2</v>
      </c>
      <c r="I319" s="3">
        <f t="shared" si="4"/>
        <v>8.9041095890410968E-2</v>
      </c>
    </row>
    <row r="320" spans="1:9" x14ac:dyDescent="0.35">
      <c r="A320" s="1" t="s">
        <v>227</v>
      </c>
      <c r="B320" s="2">
        <v>40725</v>
      </c>
      <c r="C320">
        <v>11.13</v>
      </c>
      <c r="D320">
        <v>10.28</v>
      </c>
      <c r="E320">
        <v>11.36</v>
      </c>
      <c r="F320">
        <v>10.18</v>
      </c>
      <c r="G320" s="1" t="s">
        <v>301</v>
      </c>
      <c r="H320">
        <v>8.8999999999999996E-2</v>
      </c>
      <c r="I320" s="3">
        <f t="shared" si="4"/>
        <v>-3.324348607367484E-2</v>
      </c>
    </row>
    <row r="321" spans="1:9" x14ac:dyDescent="0.35">
      <c r="A321" s="1" t="s">
        <v>227</v>
      </c>
      <c r="B321" s="2">
        <v>40756</v>
      </c>
      <c r="C321">
        <v>10.76</v>
      </c>
      <c r="D321">
        <v>11.25</v>
      </c>
      <c r="E321">
        <v>11.37</v>
      </c>
      <c r="F321">
        <v>8.86</v>
      </c>
      <c r="G321" s="1" t="s">
        <v>196</v>
      </c>
      <c r="H321">
        <v>-3.32E-2</v>
      </c>
      <c r="I321" s="3">
        <f t="shared" si="4"/>
        <v>4.6468401486989509E-3</v>
      </c>
    </row>
    <row r="322" spans="1:9" x14ac:dyDescent="0.35">
      <c r="A322" s="1" t="s">
        <v>227</v>
      </c>
      <c r="B322" s="2">
        <v>40787</v>
      </c>
      <c r="C322">
        <v>10.81</v>
      </c>
      <c r="D322">
        <v>10.76</v>
      </c>
      <c r="E322">
        <v>12.2</v>
      </c>
      <c r="F322">
        <v>10.220000000000001</v>
      </c>
      <c r="G322" s="1" t="s">
        <v>219</v>
      </c>
      <c r="H322">
        <v>4.5999999999999999E-3</v>
      </c>
      <c r="I322" s="3">
        <f t="shared" ref="I322:I385" si="5">IF(A323=A322, (C323-C322)/C322, 0)</f>
        <v>-1.2025901942645771E-2</v>
      </c>
    </row>
    <row r="323" spans="1:9" x14ac:dyDescent="0.35">
      <c r="A323" s="1" t="s">
        <v>227</v>
      </c>
      <c r="B323" s="2">
        <v>40817</v>
      </c>
      <c r="C323">
        <v>10.68</v>
      </c>
      <c r="D323">
        <v>10.85</v>
      </c>
      <c r="E323">
        <v>12.34</v>
      </c>
      <c r="F323">
        <v>9.83</v>
      </c>
      <c r="G323" s="1" t="s">
        <v>306</v>
      </c>
      <c r="H323">
        <v>-1.2E-2</v>
      </c>
      <c r="I323" s="3">
        <f t="shared" si="5"/>
        <v>-0.10018726591760302</v>
      </c>
    </row>
    <row r="324" spans="1:9" x14ac:dyDescent="0.35">
      <c r="A324" s="1" t="s">
        <v>227</v>
      </c>
      <c r="B324" s="2">
        <v>40848</v>
      </c>
      <c r="C324">
        <v>9.61</v>
      </c>
      <c r="D324">
        <v>10.41</v>
      </c>
      <c r="E324">
        <v>11.12</v>
      </c>
      <c r="F324">
        <v>9.08</v>
      </c>
      <c r="G324" s="1" t="s">
        <v>305</v>
      </c>
      <c r="H324">
        <v>-0.1002</v>
      </c>
      <c r="I324" s="3">
        <f t="shared" si="5"/>
        <v>-9.9895941727367238E-2</v>
      </c>
    </row>
    <row r="325" spans="1:9" x14ac:dyDescent="0.35">
      <c r="A325" s="1" t="s">
        <v>227</v>
      </c>
      <c r="B325" s="2">
        <v>40878</v>
      </c>
      <c r="C325">
        <v>8.65</v>
      </c>
      <c r="D325">
        <v>9.59</v>
      </c>
      <c r="E325">
        <v>9.98</v>
      </c>
      <c r="F325">
        <v>8.35</v>
      </c>
      <c r="G325" s="1" t="s">
        <v>304</v>
      </c>
      <c r="H325">
        <v>-9.9900000000000003E-2</v>
      </c>
      <c r="I325" s="3">
        <f t="shared" si="5"/>
        <v>0.12369942196531794</v>
      </c>
    </row>
    <row r="326" spans="1:9" x14ac:dyDescent="0.35">
      <c r="A326" s="1" t="s">
        <v>227</v>
      </c>
      <c r="B326" s="2">
        <v>40909</v>
      </c>
      <c r="C326">
        <v>9.7200000000000006</v>
      </c>
      <c r="D326">
        <v>8.7899999999999991</v>
      </c>
      <c r="E326">
        <v>9.82</v>
      </c>
      <c r="F326">
        <v>8.68</v>
      </c>
      <c r="G326" s="1" t="s">
        <v>302</v>
      </c>
      <c r="H326">
        <v>0.1237</v>
      </c>
      <c r="I326" s="3">
        <f t="shared" si="5"/>
        <v>-7.6131687242798368E-2</v>
      </c>
    </row>
    <row r="327" spans="1:9" x14ac:dyDescent="0.35">
      <c r="A327" s="1" t="s">
        <v>227</v>
      </c>
      <c r="B327" s="2">
        <v>40940</v>
      </c>
      <c r="C327">
        <v>8.98</v>
      </c>
      <c r="D327">
        <v>8.69</v>
      </c>
      <c r="E327">
        <v>9.68</v>
      </c>
      <c r="F327">
        <v>8.6</v>
      </c>
      <c r="G327" s="1" t="s">
        <v>303</v>
      </c>
      <c r="H327">
        <v>-7.6100000000000001E-2</v>
      </c>
      <c r="I327" s="3">
        <f t="shared" si="5"/>
        <v>0.12806236080178177</v>
      </c>
    </row>
    <row r="328" spans="1:9" x14ac:dyDescent="0.35">
      <c r="A328" s="1" t="s">
        <v>227</v>
      </c>
      <c r="B328" s="2">
        <v>40969</v>
      </c>
      <c r="C328">
        <v>10.130000000000001</v>
      </c>
      <c r="D328">
        <v>8.99</v>
      </c>
      <c r="E328">
        <v>10.49</v>
      </c>
      <c r="F328">
        <v>8.83</v>
      </c>
      <c r="G328" s="1" t="s">
        <v>183</v>
      </c>
      <c r="H328">
        <v>0.12809999999999999</v>
      </c>
      <c r="I328" s="3">
        <f t="shared" si="5"/>
        <v>0.14511352418558723</v>
      </c>
    </row>
    <row r="329" spans="1:9" x14ac:dyDescent="0.35">
      <c r="A329" s="1" t="s">
        <v>227</v>
      </c>
      <c r="B329" s="2">
        <v>41000</v>
      </c>
      <c r="C329">
        <v>11.6</v>
      </c>
      <c r="D329">
        <v>9.9</v>
      </c>
      <c r="E329">
        <v>11.69</v>
      </c>
      <c r="F329">
        <v>9.18</v>
      </c>
      <c r="G329" s="1" t="s">
        <v>302</v>
      </c>
      <c r="H329">
        <v>0.14510000000000001</v>
      </c>
      <c r="I329" s="3">
        <f t="shared" si="5"/>
        <v>-8.1896551724137873E-2</v>
      </c>
    </row>
    <row r="330" spans="1:9" x14ac:dyDescent="0.35">
      <c r="A330" s="1" t="s">
        <v>227</v>
      </c>
      <c r="B330" s="2">
        <v>41030</v>
      </c>
      <c r="C330">
        <v>10.65</v>
      </c>
      <c r="D330">
        <v>11.47</v>
      </c>
      <c r="E330">
        <v>11.65</v>
      </c>
      <c r="F330">
        <v>10.36</v>
      </c>
      <c r="G330" s="1" t="s">
        <v>301</v>
      </c>
      <c r="H330">
        <v>-8.1900000000000001E-2</v>
      </c>
      <c r="I330" s="3">
        <f t="shared" si="5"/>
        <v>7.2300469483568039E-2</v>
      </c>
    </row>
    <row r="331" spans="1:9" x14ac:dyDescent="0.35">
      <c r="A331" s="1" t="s">
        <v>227</v>
      </c>
      <c r="B331" s="2">
        <v>41061</v>
      </c>
      <c r="C331">
        <v>11.42</v>
      </c>
      <c r="D331">
        <v>10.42</v>
      </c>
      <c r="E331">
        <v>11.42</v>
      </c>
      <c r="F331">
        <v>10.32</v>
      </c>
      <c r="G331" s="1" t="s">
        <v>300</v>
      </c>
      <c r="H331">
        <v>7.2300000000000003E-2</v>
      </c>
      <c r="I331" s="3">
        <f t="shared" si="5"/>
        <v>2.1015761821366042E-2</v>
      </c>
    </row>
    <row r="332" spans="1:9" x14ac:dyDescent="0.35">
      <c r="A332" s="1" t="s">
        <v>227</v>
      </c>
      <c r="B332" s="2">
        <v>41091</v>
      </c>
      <c r="C332">
        <v>11.66</v>
      </c>
      <c r="D332">
        <v>11.46</v>
      </c>
      <c r="E332">
        <v>12.04</v>
      </c>
      <c r="F332">
        <v>10.63</v>
      </c>
      <c r="G332" s="1" t="s">
        <v>245</v>
      </c>
      <c r="H332">
        <v>2.1000000000000001E-2</v>
      </c>
      <c r="I332" s="3">
        <f t="shared" si="5"/>
        <v>6.4322469982847338E-2</v>
      </c>
    </row>
    <row r="333" spans="1:9" x14ac:dyDescent="0.35">
      <c r="A333" s="1" t="s">
        <v>227</v>
      </c>
      <c r="B333" s="2">
        <v>41122</v>
      </c>
      <c r="C333">
        <v>12.41</v>
      </c>
      <c r="D333">
        <v>11.71</v>
      </c>
      <c r="E333">
        <v>12.5</v>
      </c>
      <c r="F333">
        <v>11.43</v>
      </c>
      <c r="G333" s="1" t="s">
        <v>151</v>
      </c>
      <c r="H333">
        <v>6.4299999999999996E-2</v>
      </c>
      <c r="I333" s="3">
        <f t="shared" si="5"/>
        <v>2.4979854955680943E-2</v>
      </c>
    </row>
    <row r="334" spans="1:9" x14ac:dyDescent="0.35">
      <c r="A334" s="1" t="s">
        <v>227</v>
      </c>
      <c r="B334" s="2">
        <v>41153</v>
      </c>
      <c r="C334">
        <v>12.72</v>
      </c>
      <c r="D334">
        <v>12.41</v>
      </c>
      <c r="E334">
        <v>13.21</v>
      </c>
      <c r="F334">
        <v>12.23</v>
      </c>
      <c r="G334" s="1" t="s">
        <v>250</v>
      </c>
      <c r="H334">
        <v>2.5000000000000001E-2</v>
      </c>
      <c r="I334" s="3">
        <f t="shared" si="5"/>
        <v>-8.4905660377358486E-2</v>
      </c>
    </row>
    <row r="335" spans="1:9" x14ac:dyDescent="0.35">
      <c r="A335" s="1" t="s">
        <v>227</v>
      </c>
      <c r="B335" s="2">
        <v>41183</v>
      </c>
      <c r="C335">
        <v>11.64</v>
      </c>
      <c r="D335">
        <v>12.77</v>
      </c>
      <c r="E335">
        <v>13.1</v>
      </c>
      <c r="F335">
        <v>11.15</v>
      </c>
      <c r="G335" s="1" t="s">
        <v>170</v>
      </c>
      <c r="H335">
        <v>-8.4900000000000003E-2</v>
      </c>
      <c r="I335" s="3">
        <f t="shared" si="5"/>
        <v>8.2474226804123626E-2</v>
      </c>
    </row>
    <row r="336" spans="1:9" x14ac:dyDescent="0.35">
      <c r="A336" s="1" t="s">
        <v>227</v>
      </c>
      <c r="B336" s="2">
        <v>41214</v>
      </c>
      <c r="C336">
        <v>12.6</v>
      </c>
      <c r="D336">
        <v>11.71</v>
      </c>
      <c r="E336">
        <v>12.63</v>
      </c>
      <c r="F336">
        <v>10.91</v>
      </c>
      <c r="G336" s="1" t="s">
        <v>135</v>
      </c>
      <c r="H336">
        <v>8.2500000000000004E-2</v>
      </c>
      <c r="I336" s="3">
        <f t="shared" si="5"/>
        <v>-4.7619047619048014E-3</v>
      </c>
    </row>
    <row r="337" spans="1:9" x14ac:dyDescent="0.35">
      <c r="A337" s="1" t="s">
        <v>227</v>
      </c>
      <c r="B337" s="2">
        <v>41244</v>
      </c>
      <c r="C337">
        <v>12.54</v>
      </c>
      <c r="D337">
        <v>12.63</v>
      </c>
      <c r="E337">
        <v>13.16</v>
      </c>
      <c r="F337">
        <v>12.14</v>
      </c>
      <c r="G337" s="1" t="s">
        <v>240</v>
      </c>
      <c r="H337">
        <v>-4.7999999999999996E-3</v>
      </c>
      <c r="I337" s="3">
        <f t="shared" si="5"/>
        <v>5.9011164274322188E-2</v>
      </c>
    </row>
    <row r="338" spans="1:9" x14ac:dyDescent="0.35">
      <c r="A338" s="1" t="s">
        <v>227</v>
      </c>
      <c r="B338" s="2">
        <v>41275</v>
      </c>
      <c r="C338">
        <v>13.28</v>
      </c>
      <c r="D338">
        <v>12.8</v>
      </c>
      <c r="E338">
        <v>14.24</v>
      </c>
      <c r="F338">
        <v>12.66</v>
      </c>
      <c r="G338" s="1" t="s">
        <v>247</v>
      </c>
      <c r="H338">
        <v>5.8999999999999997E-2</v>
      </c>
      <c r="I338" s="3">
        <f t="shared" si="5"/>
        <v>-5.2710843373492853E-3</v>
      </c>
    </row>
    <row r="339" spans="1:9" x14ac:dyDescent="0.35">
      <c r="A339" s="1" t="s">
        <v>227</v>
      </c>
      <c r="B339" s="2">
        <v>41306</v>
      </c>
      <c r="C339">
        <v>13.21</v>
      </c>
      <c r="D339">
        <v>13.45</v>
      </c>
      <c r="E339">
        <v>13.71</v>
      </c>
      <c r="F339">
        <v>12.76</v>
      </c>
      <c r="G339" s="1" t="s">
        <v>121</v>
      </c>
      <c r="H339">
        <v>-5.3E-3</v>
      </c>
      <c r="I339" s="3">
        <f t="shared" si="5"/>
        <v>8.327024981074899E-3</v>
      </c>
    </row>
    <row r="340" spans="1:9" x14ac:dyDescent="0.35">
      <c r="A340" s="1" t="s">
        <v>227</v>
      </c>
      <c r="B340" s="2">
        <v>41334</v>
      </c>
      <c r="C340">
        <v>13.32</v>
      </c>
      <c r="D340">
        <v>13.16</v>
      </c>
      <c r="E340">
        <v>13.87</v>
      </c>
      <c r="F340">
        <v>12.6</v>
      </c>
      <c r="G340" s="1" t="s">
        <v>154</v>
      </c>
      <c r="H340">
        <v>8.3000000000000001E-3</v>
      </c>
      <c r="I340" s="3">
        <f t="shared" si="5"/>
        <v>-4.7297297297297355E-2</v>
      </c>
    </row>
    <row r="341" spans="1:9" x14ac:dyDescent="0.35">
      <c r="A341" s="1" t="s">
        <v>227</v>
      </c>
      <c r="B341" s="2">
        <v>41365</v>
      </c>
      <c r="C341">
        <v>12.69</v>
      </c>
      <c r="D341">
        <v>13.35</v>
      </c>
      <c r="E341">
        <v>13.79</v>
      </c>
      <c r="F341">
        <v>12.43</v>
      </c>
      <c r="G341" s="1" t="s">
        <v>161</v>
      </c>
      <c r="H341">
        <v>-4.7300000000000002E-2</v>
      </c>
      <c r="I341" s="3">
        <f t="shared" si="5"/>
        <v>6.0677698975571424E-2</v>
      </c>
    </row>
    <row r="342" spans="1:9" x14ac:dyDescent="0.35">
      <c r="A342" s="1" t="s">
        <v>227</v>
      </c>
      <c r="B342" s="2">
        <v>41395</v>
      </c>
      <c r="C342">
        <v>13.46</v>
      </c>
      <c r="D342">
        <v>12.7</v>
      </c>
      <c r="E342">
        <v>13.6</v>
      </c>
      <c r="F342">
        <v>12.29</v>
      </c>
      <c r="G342" s="1" t="s">
        <v>155</v>
      </c>
      <c r="H342">
        <v>6.0699999999999997E-2</v>
      </c>
      <c r="I342" s="3">
        <f t="shared" si="5"/>
        <v>3.120356612184249E-2</v>
      </c>
    </row>
    <row r="343" spans="1:9" x14ac:dyDescent="0.35">
      <c r="A343" s="1" t="s">
        <v>227</v>
      </c>
      <c r="B343" s="2">
        <v>41426</v>
      </c>
      <c r="C343">
        <v>13.88</v>
      </c>
      <c r="D343">
        <v>13.45</v>
      </c>
      <c r="E343">
        <v>14.17</v>
      </c>
      <c r="F343">
        <v>13.15</v>
      </c>
      <c r="G343" s="1" t="s">
        <v>154</v>
      </c>
      <c r="H343">
        <v>3.1199999999999999E-2</v>
      </c>
      <c r="I343" s="3">
        <f t="shared" si="5"/>
        <v>8.5014409221901996E-2</v>
      </c>
    </row>
    <row r="344" spans="1:9" x14ac:dyDescent="0.35">
      <c r="A344" s="1" t="s">
        <v>227</v>
      </c>
      <c r="B344" s="2">
        <v>41456</v>
      </c>
      <c r="C344">
        <v>15.06</v>
      </c>
      <c r="D344">
        <v>13.95</v>
      </c>
      <c r="E344">
        <v>15.68</v>
      </c>
      <c r="F344">
        <v>13.86</v>
      </c>
      <c r="G344" s="1" t="s">
        <v>115</v>
      </c>
      <c r="H344">
        <v>8.5000000000000006E-2</v>
      </c>
      <c r="I344" s="3">
        <f t="shared" si="5"/>
        <v>-6.7065073041168641E-2</v>
      </c>
    </row>
    <row r="345" spans="1:9" x14ac:dyDescent="0.35">
      <c r="A345" s="1" t="s">
        <v>227</v>
      </c>
      <c r="B345" s="2">
        <v>41487</v>
      </c>
      <c r="C345">
        <v>14.05</v>
      </c>
      <c r="D345">
        <v>15.15</v>
      </c>
      <c r="E345">
        <v>15.31</v>
      </c>
      <c r="F345">
        <v>13.97</v>
      </c>
      <c r="G345" s="1" t="s">
        <v>299</v>
      </c>
      <c r="H345">
        <v>-6.7100000000000007E-2</v>
      </c>
      <c r="I345" s="3">
        <f t="shared" si="5"/>
        <v>0.11245551601423487</v>
      </c>
    </row>
    <row r="346" spans="1:9" x14ac:dyDescent="0.35">
      <c r="A346" s="1" t="s">
        <v>227</v>
      </c>
      <c r="B346" s="2">
        <v>41518</v>
      </c>
      <c r="C346">
        <v>15.63</v>
      </c>
      <c r="D346">
        <v>14.24</v>
      </c>
      <c r="E346">
        <v>16.03</v>
      </c>
      <c r="F346">
        <v>14.21</v>
      </c>
      <c r="G346" s="1" t="s">
        <v>298</v>
      </c>
      <c r="H346">
        <v>0.1125</v>
      </c>
      <c r="I346" s="3">
        <f t="shared" si="5"/>
        <v>0.16442738323736394</v>
      </c>
    </row>
    <row r="347" spans="1:9" x14ac:dyDescent="0.35">
      <c r="A347" s="1" t="s">
        <v>227</v>
      </c>
      <c r="B347" s="2">
        <v>41548</v>
      </c>
      <c r="C347">
        <v>18.2</v>
      </c>
      <c r="D347">
        <v>15.71</v>
      </c>
      <c r="E347">
        <v>18.420000000000002</v>
      </c>
      <c r="F347">
        <v>14.83</v>
      </c>
      <c r="G347" s="1" t="s">
        <v>245</v>
      </c>
      <c r="H347">
        <v>0.16439999999999999</v>
      </c>
      <c r="I347" s="3">
        <f t="shared" si="5"/>
        <v>8.1318681318681349E-2</v>
      </c>
    </row>
    <row r="348" spans="1:9" x14ac:dyDescent="0.35">
      <c r="A348" s="1" t="s">
        <v>227</v>
      </c>
      <c r="B348" s="2">
        <v>41579</v>
      </c>
      <c r="C348">
        <v>19.68</v>
      </c>
      <c r="D348">
        <v>18.28</v>
      </c>
      <c r="E348">
        <v>19.7</v>
      </c>
      <c r="F348">
        <v>17.09</v>
      </c>
      <c r="G348" s="1" t="s">
        <v>297</v>
      </c>
      <c r="H348">
        <v>8.1299999999999997E-2</v>
      </c>
      <c r="I348" s="3">
        <f t="shared" si="5"/>
        <v>1.3211382113821217E-2</v>
      </c>
    </row>
    <row r="349" spans="1:9" x14ac:dyDescent="0.35">
      <c r="A349" s="1" t="s">
        <v>227</v>
      </c>
      <c r="B349" s="2">
        <v>41609</v>
      </c>
      <c r="C349">
        <v>19.940000000000001</v>
      </c>
      <c r="D349">
        <v>19.95</v>
      </c>
      <c r="E349">
        <v>20.28</v>
      </c>
      <c r="F349">
        <v>18.98</v>
      </c>
      <c r="G349" s="1" t="s">
        <v>120</v>
      </c>
      <c r="H349">
        <v>1.32E-2</v>
      </c>
      <c r="I349" s="3">
        <f t="shared" si="5"/>
        <v>-0.10080240722166507</v>
      </c>
    </row>
    <row r="350" spans="1:9" x14ac:dyDescent="0.35">
      <c r="A350" s="1" t="s">
        <v>227</v>
      </c>
      <c r="B350" s="2">
        <v>41640</v>
      </c>
      <c r="C350">
        <v>17.93</v>
      </c>
      <c r="D350">
        <v>19.940000000000001</v>
      </c>
      <c r="E350">
        <v>20.399999999999999</v>
      </c>
      <c r="F350">
        <v>17.89</v>
      </c>
      <c r="G350" s="1" t="s">
        <v>170</v>
      </c>
      <c r="H350">
        <v>-0.1008</v>
      </c>
      <c r="I350" s="3">
        <f t="shared" si="5"/>
        <v>1.0039040713887323E-2</v>
      </c>
    </row>
    <row r="351" spans="1:9" x14ac:dyDescent="0.35">
      <c r="A351" s="1" t="s">
        <v>227</v>
      </c>
      <c r="B351" s="2">
        <v>41671</v>
      </c>
      <c r="C351">
        <v>18.11</v>
      </c>
      <c r="D351">
        <v>17.95</v>
      </c>
      <c r="E351">
        <v>18.29</v>
      </c>
      <c r="F351">
        <v>16.89</v>
      </c>
      <c r="G351" s="1" t="s">
        <v>289</v>
      </c>
      <c r="H351">
        <v>0.01</v>
      </c>
      <c r="I351" s="3">
        <f t="shared" si="5"/>
        <v>-7.1231363887355001E-2</v>
      </c>
    </row>
    <row r="352" spans="1:9" x14ac:dyDescent="0.35">
      <c r="A352" s="1" t="s">
        <v>227</v>
      </c>
      <c r="B352" s="2">
        <v>41699</v>
      </c>
      <c r="C352">
        <v>16.82</v>
      </c>
      <c r="D352">
        <v>17.940000000000001</v>
      </c>
      <c r="E352">
        <v>19.16</v>
      </c>
      <c r="F352">
        <v>16.54</v>
      </c>
      <c r="G352" s="1" t="s">
        <v>296</v>
      </c>
      <c r="H352">
        <v>-7.1199999999999999E-2</v>
      </c>
      <c r="I352" s="3">
        <f t="shared" si="5"/>
        <v>-9.5719381688466082E-2</v>
      </c>
    </row>
    <row r="353" spans="1:9" x14ac:dyDescent="0.35">
      <c r="A353" s="1" t="s">
        <v>227</v>
      </c>
      <c r="B353" s="2">
        <v>41730</v>
      </c>
      <c r="C353">
        <v>15.21</v>
      </c>
      <c r="D353">
        <v>16.899999999999999</v>
      </c>
      <c r="E353">
        <v>17.41</v>
      </c>
      <c r="F353">
        <v>14.4</v>
      </c>
      <c r="G353" s="1" t="s">
        <v>295</v>
      </c>
      <c r="H353">
        <v>-9.5699999999999993E-2</v>
      </c>
      <c r="I353" s="3">
        <f t="shared" si="5"/>
        <v>2.7613412228796839E-2</v>
      </c>
    </row>
    <row r="354" spans="1:9" x14ac:dyDescent="0.35">
      <c r="A354" s="1" t="s">
        <v>227</v>
      </c>
      <c r="B354" s="2">
        <v>41760</v>
      </c>
      <c r="C354">
        <v>15.63</v>
      </c>
      <c r="D354">
        <v>15.21</v>
      </c>
      <c r="E354">
        <v>15.74</v>
      </c>
      <c r="F354">
        <v>14.22</v>
      </c>
      <c r="G354" s="1" t="s">
        <v>66</v>
      </c>
      <c r="H354">
        <v>2.7400000000000001E-2</v>
      </c>
      <c r="I354" s="3">
        <f t="shared" si="5"/>
        <v>3.9027511196416995E-2</v>
      </c>
    </row>
    <row r="355" spans="1:9" x14ac:dyDescent="0.35">
      <c r="A355" s="1" t="s">
        <v>227</v>
      </c>
      <c r="B355" s="2">
        <v>41791</v>
      </c>
      <c r="C355">
        <v>16.239999999999998</v>
      </c>
      <c r="D355">
        <v>15.63</v>
      </c>
      <c r="E355">
        <v>17.04</v>
      </c>
      <c r="F355">
        <v>15.19</v>
      </c>
      <c r="G355" s="1" t="s">
        <v>248</v>
      </c>
      <c r="H355">
        <v>3.9100000000000003E-2</v>
      </c>
      <c r="I355" s="3">
        <f t="shared" si="5"/>
        <v>-3.633004926108363E-2</v>
      </c>
    </row>
    <row r="356" spans="1:9" x14ac:dyDescent="0.35">
      <c r="A356" s="1" t="s">
        <v>227</v>
      </c>
      <c r="B356" s="2">
        <v>41821</v>
      </c>
      <c r="C356">
        <v>15.65</v>
      </c>
      <c r="D356">
        <v>16.29</v>
      </c>
      <c r="E356">
        <v>18.239999999999998</v>
      </c>
      <c r="F356">
        <v>15.59</v>
      </c>
      <c r="G356" s="1" t="s">
        <v>294</v>
      </c>
      <c r="H356">
        <v>-3.6299999999999999E-2</v>
      </c>
      <c r="I356" s="3">
        <f t="shared" si="5"/>
        <v>8.3067092651757116E-2</v>
      </c>
    </row>
    <row r="357" spans="1:9" x14ac:dyDescent="0.35">
      <c r="A357" s="1" t="s">
        <v>227</v>
      </c>
      <c r="B357" s="2">
        <v>41852</v>
      </c>
      <c r="C357">
        <v>16.95</v>
      </c>
      <c r="D357">
        <v>15.68</v>
      </c>
      <c r="E357">
        <v>17.329999999999998</v>
      </c>
      <c r="F357">
        <v>15.23</v>
      </c>
      <c r="G357" s="1" t="s">
        <v>241</v>
      </c>
      <c r="H357">
        <v>8.3199999999999996E-2</v>
      </c>
      <c r="I357" s="3">
        <f t="shared" si="5"/>
        <v>-4.8967551622418781E-2</v>
      </c>
    </row>
    <row r="358" spans="1:9" x14ac:dyDescent="0.35">
      <c r="A358" s="1" t="s">
        <v>227</v>
      </c>
      <c r="B358" s="2">
        <v>41883</v>
      </c>
      <c r="C358">
        <v>16.12</v>
      </c>
      <c r="D358">
        <v>17</v>
      </c>
      <c r="E358">
        <v>17.47</v>
      </c>
      <c r="F358">
        <v>15.88</v>
      </c>
      <c r="G358" s="1" t="s">
        <v>243</v>
      </c>
      <c r="H358">
        <v>-4.9000000000000002E-2</v>
      </c>
      <c r="I358" s="3">
        <f t="shared" si="5"/>
        <v>-5.2729528535980237E-2</v>
      </c>
    </row>
    <row r="359" spans="1:9" x14ac:dyDescent="0.35">
      <c r="A359" s="1" t="s">
        <v>227</v>
      </c>
      <c r="B359" s="2">
        <v>41913</v>
      </c>
      <c r="C359">
        <v>15.27</v>
      </c>
      <c r="D359">
        <v>16.100000000000001</v>
      </c>
      <c r="E359">
        <v>16.260000000000002</v>
      </c>
      <c r="F359">
        <v>14.2</v>
      </c>
      <c r="G359" s="1" t="s">
        <v>293</v>
      </c>
      <c r="H359">
        <v>-5.2699999999999997E-2</v>
      </c>
      <c r="I359" s="3">
        <f t="shared" si="5"/>
        <v>0.10870988867059596</v>
      </c>
    </row>
    <row r="360" spans="1:9" x14ac:dyDescent="0.35">
      <c r="A360" s="1" t="s">
        <v>227</v>
      </c>
      <c r="B360" s="2">
        <v>41944</v>
      </c>
      <c r="C360">
        <v>16.93</v>
      </c>
      <c r="D360">
        <v>15.31</v>
      </c>
      <c r="E360">
        <v>17.059999999999999</v>
      </c>
      <c r="F360">
        <v>14.61</v>
      </c>
      <c r="G360" s="1" t="s">
        <v>187</v>
      </c>
      <c r="H360">
        <v>0.1086</v>
      </c>
      <c r="I360" s="3">
        <f t="shared" si="5"/>
        <v>-8.3284111045481404E-2</v>
      </c>
    </row>
    <row r="361" spans="1:9" x14ac:dyDescent="0.35">
      <c r="A361" s="1" t="s">
        <v>227</v>
      </c>
      <c r="B361" s="2">
        <v>41974</v>
      </c>
      <c r="C361">
        <v>15.52</v>
      </c>
      <c r="D361">
        <v>16.91</v>
      </c>
      <c r="E361">
        <v>17.03</v>
      </c>
      <c r="F361">
        <v>14.65</v>
      </c>
      <c r="G361" s="1" t="s">
        <v>292</v>
      </c>
      <c r="H361">
        <v>-8.3500000000000005E-2</v>
      </c>
      <c r="I361" s="3">
        <f t="shared" si="5"/>
        <v>0.14239690721649489</v>
      </c>
    </row>
    <row r="362" spans="1:9" x14ac:dyDescent="0.35">
      <c r="A362" s="1" t="s">
        <v>227</v>
      </c>
      <c r="B362" s="2">
        <v>42005</v>
      </c>
      <c r="C362">
        <v>17.73</v>
      </c>
      <c r="D362">
        <v>15.63</v>
      </c>
      <c r="E362">
        <v>17.98</v>
      </c>
      <c r="F362">
        <v>14.26</v>
      </c>
      <c r="G362" s="1" t="s">
        <v>291</v>
      </c>
      <c r="H362">
        <v>0.1424</v>
      </c>
      <c r="I362" s="3">
        <f t="shared" si="5"/>
        <v>7.2194021432600175E-2</v>
      </c>
    </row>
    <row r="363" spans="1:9" x14ac:dyDescent="0.35">
      <c r="A363" s="1" t="s">
        <v>227</v>
      </c>
      <c r="B363" s="2">
        <v>42036</v>
      </c>
      <c r="C363">
        <v>19.010000000000002</v>
      </c>
      <c r="D363">
        <v>17.5</v>
      </c>
      <c r="E363">
        <v>19.47</v>
      </c>
      <c r="F363">
        <v>17.5</v>
      </c>
      <c r="G363" s="1" t="s">
        <v>290</v>
      </c>
      <c r="H363">
        <v>7.2300000000000003E-2</v>
      </c>
      <c r="I363" s="3">
        <f t="shared" si="5"/>
        <v>-2.1567596002104162E-2</v>
      </c>
    </row>
    <row r="364" spans="1:9" x14ac:dyDescent="0.35">
      <c r="A364" s="1" t="s">
        <v>227</v>
      </c>
      <c r="B364" s="2">
        <v>42064</v>
      </c>
      <c r="C364">
        <v>18.600000000000001</v>
      </c>
      <c r="D364">
        <v>19.04</v>
      </c>
      <c r="E364">
        <v>19.420000000000002</v>
      </c>
      <c r="F364">
        <v>18.28</v>
      </c>
      <c r="G364" s="1" t="s">
        <v>120</v>
      </c>
      <c r="H364">
        <v>-2.12E-2</v>
      </c>
      <c r="I364" s="3">
        <f t="shared" si="5"/>
        <v>0.13387096774193538</v>
      </c>
    </row>
    <row r="365" spans="1:9" x14ac:dyDescent="0.35">
      <c r="A365" s="1" t="s">
        <v>227</v>
      </c>
      <c r="B365" s="2">
        <v>42095</v>
      </c>
      <c r="C365">
        <v>21.09</v>
      </c>
      <c r="D365">
        <v>18.600000000000001</v>
      </c>
      <c r="E365">
        <v>22.63</v>
      </c>
      <c r="F365">
        <v>18.420000000000002</v>
      </c>
      <c r="G365" s="1" t="s">
        <v>247</v>
      </c>
      <c r="H365">
        <v>0.13350000000000001</v>
      </c>
      <c r="I365" s="3">
        <f t="shared" si="5"/>
        <v>1.7543859649122855E-2</v>
      </c>
    </row>
    <row r="366" spans="1:9" x14ac:dyDescent="0.35">
      <c r="A366" s="1" t="s">
        <v>227</v>
      </c>
      <c r="B366" s="2">
        <v>42125</v>
      </c>
      <c r="C366">
        <v>21.46</v>
      </c>
      <c r="D366">
        <v>21.19</v>
      </c>
      <c r="E366">
        <v>21.95</v>
      </c>
      <c r="F366">
        <v>20.73</v>
      </c>
      <c r="G366" s="1" t="s">
        <v>90</v>
      </c>
      <c r="H366">
        <v>1.77E-2</v>
      </c>
      <c r="I366" s="3">
        <f t="shared" si="5"/>
        <v>1.1183597390493868E-2</v>
      </c>
    </row>
    <row r="367" spans="1:9" x14ac:dyDescent="0.35">
      <c r="A367" s="1" t="s">
        <v>227</v>
      </c>
      <c r="B367" s="2">
        <v>42156</v>
      </c>
      <c r="C367">
        <v>21.7</v>
      </c>
      <c r="D367">
        <v>21.52</v>
      </c>
      <c r="E367">
        <v>22.35</v>
      </c>
      <c r="F367">
        <v>20.96</v>
      </c>
      <c r="G367" s="1" t="s">
        <v>159</v>
      </c>
      <c r="H367">
        <v>1.1299999999999999E-2</v>
      </c>
      <c r="I367" s="3">
        <f t="shared" si="5"/>
        <v>0.23548387096774193</v>
      </c>
    </row>
    <row r="368" spans="1:9" x14ac:dyDescent="0.35">
      <c r="A368" s="1" t="s">
        <v>227</v>
      </c>
      <c r="B368" s="2">
        <v>42186</v>
      </c>
      <c r="C368">
        <v>26.81</v>
      </c>
      <c r="D368">
        <v>21.97</v>
      </c>
      <c r="E368">
        <v>29.03</v>
      </c>
      <c r="F368">
        <v>21.28</v>
      </c>
      <c r="G368" s="1" t="s">
        <v>246</v>
      </c>
      <c r="H368">
        <v>0.2351</v>
      </c>
      <c r="I368" s="3">
        <f t="shared" si="5"/>
        <v>-4.3640432674375167E-2</v>
      </c>
    </row>
    <row r="369" spans="1:9" x14ac:dyDescent="0.35">
      <c r="A369" s="1" t="s">
        <v>227</v>
      </c>
      <c r="B369" s="2">
        <v>42217</v>
      </c>
      <c r="C369">
        <v>25.64</v>
      </c>
      <c r="D369">
        <v>26.87</v>
      </c>
      <c r="E369">
        <v>27.14</v>
      </c>
      <c r="F369">
        <v>22.55</v>
      </c>
      <c r="G369" s="1" t="s">
        <v>289</v>
      </c>
      <c r="H369">
        <v>-4.3400000000000001E-2</v>
      </c>
      <c r="I369" s="3">
        <f t="shared" si="5"/>
        <v>-1.9500780031201524E-3</v>
      </c>
    </row>
    <row r="370" spans="1:9" x14ac:dyDescent="0.35">
      <c r="A370" s="1" t="s">
        <v>227</v>
      </c>
      <c r="B370" s="2">
        <v>42248</v>
      </c>
      <c r="C370">
        <v>25.59</v>
      </c>
      <c r="D370">
        <v>24.96</v>
      </c>
      <c r="E370">
        <v>27.49</v>
      </c>
      <c r="F370">
        <v>24.52</v>
      </c>
      <c r="G370" s="1" t="s">
        <v>161</v>
      </c>
      <c r="H370">
        <v>-1.9E-3</v>
      </c>
      <c r="I370" s="3">
        <f t="shared" si="5"/>
        <v>0.22313403673309889</v>
      </c>
    </row>
    <row r="371" spans="1:9" x14ac:dyDescent="0.35">
      <c r="A371" s="1" t="s">
        <v>227</v>
      </c>
      <c r="B371" s="2">
        <v>42278</v>
      </c>
      <c r="C371">
        <v>31.3</v>
      </c>
      <c r="D371">
        <v>25.55</v>
      </c>
      <c r="E371">
        <v>31.54</v>
      </c>
      <c r="F371">
        <v>25.3</v>
      </c>
      <c r="G371" s="1" t="s">
        <v>288</v>
      </c>
      <c r="H371">
        <v>0.22270000000000001</v>
      </c>
      <c r="I371" s="3">
        <f t="shared" si="5"/>
        <v>6.1980830670926558E-2</v>
      </c>
    </row>
    <row r="372" spans="1:9" x14ac:dyDescent="0.35">
      <c r="A372" s="1" t="s">
        <v>227</v>
      </c>
      <c r="B372" s="2">
        <v>42309</v>
      </c>
      <c r="C372">
        <v>33.24</v>
      </c>
      <c r="D372">
        <v>31.36</v>
      </c>
      <c r="E372">
        <v>34.14</v>
      </c>
      <c r="F372">
        <v>31.02</v>
      </c>
      <c r="G372" s="1" t="s">
        <v>287</v>
      </c>
      <c r="H372">
        <v>6.2199999999999998E-2</v>
      </c>
      <c r="I372" s="3">
        <f t="shared" si="5"/>
        <v>1.6546329723224944E-2</v>
      </c>
    </row>
    <row r="373" spans="1:9" x14ac:dyDescent="0.35">
      <c r="A373" s="1" t="s">
        <v>227</v>
      </c>
      <c r="B373" s="2">
        <v>42339</v>
      </c>
      <c r="C373">
        <v>33.79</v>
      </c>
      <c r="D373">
        <v>33.69</v>
      </c>
      <c r="E373">
        <v>34.82</v>
      </c>
      <c r="F373">
        <v>31.76</v>
      </c>
      <c r="G373" s="1" t="s">
        <v>286</v>
      </c>
      <c r="H373">
        <v>1.67E-2</v>
      </c>
      <c r="I373" s="3">
        <f t="shared" si="5"/>
        <v>-0.13139982243267231</v>
      </c>
    </row>
    <row r="374" spans="1:9" x14ac:dyDescent="0.35">
      <c r="A374" s="1" t="s">
        <v>227</v>
      </c>
      <c r="B374" s="2">
        <v>42370</v>
      </c>
      <c r="C374">
        <v>29.35</v>
      </c>
      <c r="D374">
        <v>32.81</v>
      </c>
      <c r="E374">
        <v>32.89</v>
      </c>
      <c r="F374">
        <v>27.36</v>
      </c>
      <c r="G374" s="1" t="s">
        <v>276</v>
      </c>
      <c r="H374">
        <v>-0.13150000000000001</v>
      </c>
      <c r="I374" s="3">
        <f t="shared" si="5"/>
        <v>-5.860306643952308E-2</v>
      </c>
    </row>
    <row r="375" spans="1:9" x14ac:dyDescent="0.35">
      <c r="A375" s="1" t="s">
        <v>227</v>
      </c>
      <c r="B375" s="2">
        <v>42401</v>
      </c>
      <c r="C375">
        <v>27.63</v>
      </c>
      <c r="D375">
        <v>28.91</v>
      </c>
      <c r="E375">
        <v>29.09</v>
      </c>
      <c r="F375">
        <v>23.7</v>
      </c>
      <c r="G375" s="1" t="s">
        <v>285</v>
      </c>
      <c r="H375">
        <v>-5.8700000000000002E-2</v>
      </c>
      <c r="I375" s="3">
        <f t="shared" si="5"/>
        <v>7.4194715888526996E-2</v>
      </c>
    </row>
    <row r="376" spans="1:9" x14ac:dyDescent="0.35">
      <c r="A376" s="1" t="s">
        <v>227</v>
      </c>
      <c r="B376" s="2">
        <v>42430</v>
      </c>
      <c r="C376">
        <v>29.68</v>
      </c>
      <c r="D376">
        <v>27.81</v>
      </c>
      <c r="E376">
        <v>30.16</v>
      </c>
      <c r="F376">
        <v>26.93</v>
      </c>
      <c r="G376" s="1" t="s">
        <v>189</v>
      </c>
      <c r="H376">
        <v>7.4399999999999994E-2</v>
      </c>
      <c r="I376" s="3">
        <f t="shared" si="5"/>
        <v>0.11118598382749317</v>
      </c>
    </row>
    <row r="377" spans="1:9" x14ac:dyDescent="0.35">
      <c r="A377" s="1" t="s">
        <v>227</v>
      </c>
      <c r="B377" s="2">
        <v>42461</v>
      </c>
      <c r="C377">
        <v>32.979999999999997</v>
      </c>
      <c r="D377">
        <v>29.52</v>
      </c>
      <c r="E377">
        <v>33.5</v>
      </c>
      <c r="F377">
        <v>29.26</v>
      </c>
      <c r="G377" s="1" t="s">
        <v>66</v>
      </c>
      <c r="H377">
        <v>0.1111</v>
      </c>
      <c r="I377" s="3">
        <f t="shared" si="5"/>
        <v>9.581564584596737E-2</v>
      </c>
    </row>
    <row r="378" spans="1:9" x14ac:dyDescent="0.35">
      <c r="A378" s="1" t="s">
        <v>227</v>
      </c>
      <c r="B378" s="2">
        <v>42491</v>
      </c>
      <c r="C378">
        <v>36.14</v>
      </c>
      <c r="D378">
        <v>33.200000000000003</v>
      </c>
      <c r="E378">
        <v>36.21</v>
      </c>
      <c r="F378">
        <v>32.799999999999997</v>
      </c>
      <c r="G378" s="1" t="s">
        <v>284</v>
      </c>
      <c r="H378">
        <v>9.5799999999999996E-2</v>
      </c>
      <c r="I378" s="3">
        <f t="shared" si="5"/>
        <v>-9.9612617598228946E-3</v>
      </c>
    </row>
    <row r="379" spans="1:9" x14ac:dyDescent="0.35">
      <c r="A379" s="1" t="s">
        <v>227</v>
      </c>
      <c r="B379" s="2">
        <v>42522</v>
      </c>
      <c r="C379">
        <v>35.78</v>
      </c>
      <c r="D379">
        <v>36.04</v>
      </c>
      <c r="E379">
        <v>36.58</v>
      </c>
      <c r="F379">
        <v>34.11</v>
      </c>
      <c r="G379" s="1" t="s">
        <v>265</v>
      </c>
      <c r="H379">
        <v>-9.9000000000000008E-3</v>
      </c>
      <c r="I379" s="3">
        <f t="shared" si="5"/>
        <v>6.0368921185019464E-2</v>
      </c>
    </row>
    <row r="380" spans="1:9" x14ac:dyDescent="0.35">
      <c r="A380" s="1" t="s">
        <v>227</v>
      </c>
      <c r="B380" s="2">
        <v>42552</v>
      </c>
      <c r="C380">
        <v>37.94</v>
      </c>
      <c r="D380">
        <v>35.869999999999997</v>
      </c>
      <c r="E380">
        <v>38.299999999999997</v>
      </c>
      <c r="F380">
        <v>35.83</v>
      </c>
      <c r="G380" s="1" t="s">
        <v>121</v>
      </c>
      <c r="H380">
        <v>6.0400000000000002E-2</v>
      </c>
      <c r="I380" s="3">
        <f t="shared" si="5"/>
        <v>1.3705851344227811E-2</v>
      </c>
    </row>
    <row r="381" spans="1:9" x14ac:dyDescent="0.35">
      <c r="A381" s="1" t="s">
        <v>227</v>
      </c>
      <c r="B381" s="2">
        <v>42583</v>
      </c>
      <c r="C381">
        <v>38.46</v>
      </c>
      <c r="D381">
        <v>37.99</v>
      </c>
      <c r="E381">
        <v>38.75</v>
      </c>
      <c r="F381">
        <v>37.520000000000003</v>
      </c>
      <c r="G381" s="1" t="s">
        <v>283</v>
      </c>
      <c r="H381">
        <v>1.3599999999999999E-2</v>
      </c>
      <c r="I381" s="3">
        <f t="shared" si="5"/>
        <v>8.8663546541861579E-2</v>
      </c>
    </row>
    <row r="382" spans="1:9" x14ac:dyDescent="0.35">
      <c r="A382" s="1" t="s">
        <v>227</v>
      </c>
      <c r="B382" s="2">
        <v>42614</v>
      </c>
      <c r="C382">
        <v>41.87</v>
      </c>
      <c r="D382">
        <v>38.54</v>
      </c>
      <c r="E382">
        <v>42</v>
      </c>
      <c r="F382">
        <v>37.799999999999997</v>
      </c>
      <c r="G382" s="1" t="s">
        <v>115</v>
      </c>
      <c r="H382">
        <v>8.8599999999999998E-2</v>
      </c>
      <c r="I382" s="3">
        <f t="shared" si="5"/>
        <v>-5.6842608072605577E-2</v>
      </c>
    </row>
    <row r="383" spans="1:9" x14ac:dyDescent="0.35">
      <c r="A383" s="1" t="s">
        <v>227</v>
      </c>
      <c r="B383" s="2">
        <v>42644</v>
      </c>
      <c r="C383">
        <v>39.49</v>
      </c>
      <c r="D383">
        <v>41.8</v>
      </c>
      <c r="E383">
        <v>42.36</v>
      </c>
      <c r="F383">
        <v>38.729999999999997</v>
      </c>
      <c r="G383" s="1" t="s">
        <v>161</v>
      </c>
      <c r="H383">
        <v>-5.67E-2</v>
      </c>
      <c r="I383" s="3">
        <f t="shared" si="5"/>
        <v>-4.9632818435046869E-2</v>
      </c>
    </row>
    <row r="384" spans="1:9" x14ac:dyDescent="0.35">
      <c r="A384" s="1" t="s">
        <v>227</v>
      </c>
      <c r="B384" s="2">
        <v>42675</v>
      </c>
      <c r="C384">
        <v>37.53</v>
      </c>
      <c r="D384">
        <v>39.950000000000003</v>
      </c>
      <c r="E384">
        <v>40.04</v>
      </c>
      <c r="F384">
        <v>35.51</v>
      </c>
      <c r="G384" s="1" t="s">
        <v>182</v>
      </c>
      <c r="H384">
        <v>-4.9700000000000001E-2</v>
      </c>
      <c r="I384" s="3">
        <f t="shared" si="5"/>
        <v>-1.0658140154542804E-3</v>
      </c>
    </row>
    <row r="385" spans="1:9" x14ac:dyDescent="0.35">
      <c r="A385" s="1" t="s">
        <v>227</v>
      </c>
      <c r="B385" s="2">
        <v>42705</v>
      </c>
      <c r="C385">
        <v>37.49</v>
      </c>
      <c r="D385">
        <v>37.619999999999997</v>
      </c>
      <c r="E385">
        <v>39.119999999999997</v>
      </c>
      <c r="F385">
        <v>36.83</v>
      </c>
      <c r="G385" s="1" t="s">
        <v>158</v>
      </c>
      <c r="H385">
        <v>-8.9999999999999998E-4</v>
      </c>
      <c r="I385" s="3">
        <f t="shared" si="5"/>
        <v>9.8159509202453976E-2</v>
      </c>
    </row>
    <row r="386" spans="1:9" x14ac:dyDescent="0.35">
      <c r="A386" s="1" t="s">
        <v>227</v>
      </c>
      <c r="B386" s="2">
        <v>42736</v>
      </c>
      <c r="C386">
        <v>41.17</v>
      </c>
      <c r="D386">
        <v>37.9</v>
      </c>
      <c r="E386">
        <v>42.19</v>
      </c>
      <c r="F386">
        <v>37.380000000000003</v>
      </c>
      <c r="G386" s="1" t="s">
        <v>165</v>
      </c>
      <c r="H386">
        <v>9.8199999999999996E-2</v>
      </c>
      <c r="I386" s="3">
        <f t="shared" ref="I386:I449" si="6">IF(A387=A386, (C387-C386)/C386, 0)</f>
        <v>2.6232693709011375E-2</v>
      </c>
    </row>
    <row r="387" spans="1:9" x14ac:dyDescent="0.35">
      <c r="A387" s="1" t="s">
        <v>227</v>
      </c>
      <c r="B387" s="2">
        <v>42767</v>
      </c>
      <c r="C387">
        <v>42.25</v>
      </c>
      <c r="D387">
        <v>41.46</v>
      </c>
      <c r="E387">
        <v>43.04</v>
      </c>
      <c r="F387">
        <v>40.15</v>
      </c>
      <c r="G387" s="1" t="s">
        <v>242</v>
      </c>
      <c r="H387">
        <v>2.6200000000000001E-2</v>
      </c>
      <c r="I387" s="3">
        <f t="shared" si="6"/>
        <v>4.9230769230769189E-2</v>
      </c>
    </row>
    <row r="388" spans="1:9" x14ac:dyDescent="0.35">
      <c r="A388" s="1" t="s">
        <v>227</v>
      </c>
      <c r="B388" s="2">
        <v>42795</v>
      </c>
      <c r="C388">
        <v>44.33</v>
      </c>
      <c r="D388">
        <v>42.65</v>
      </c>
      <c r="E388">
        <v>44.52</v>
      </c>
      <c r="F388">
        <v>41.67</v>
      </c>
      <c r="G388" s="1" t="s">
        <v>160</v>
      </c>
      <c r="H388">
        <v>4.9099999999999998E-2</v>
      </c>
      <c r="I388" s="3">
        <f t="shared" si="6"/>
        <v>4.3311527182494966E-2</v>
      </c>
    </row>
    <row r="389" spans="1:9" x14ac:dyDescent="0.35">
      <c r="A389" s="1" t="s">
        <v>227</v>
      </c>
      <c r="B389" s="2">
        <v>42826</v>
      </c>
      <c r="C389">
        <v>46.25</v>
      </c>
      <c r="D389">
        <v>44.4</v>
      </c>
      <c r="E389">
        <v>47.48</v>
      </c>
      <c r="F389">
        <v>44.22</v>
      </c>
      <c r="G389" s="1" t="s">
        <v>158</v>
      </c>
      <c r="H389">
        <v>4.3400000000000001E-2</v>
      </c>
      <c r="I389" s="3">
        <f t="shared" si="6"/>
        <v>7.5243243243243177E-2</v>
      </c>
    </row>
    <row r="390" spans="1:9" x14ac:dyDescent="0.35">
      <c r="A390" s="1" t="s">
        <v>227</v>
      </c>
      <c r="B390" s="2">
        <v>42856</v>
      </c>
      <c r="C390">
        <v>49.73</v>
      </c>
      <c r="D390">
        <v>46.39</v>
      </c>
      <c r="E390">
        <v>50.06</v>
      </c>
      <c r="F390">
        <v>46.39</v>
      </c>
      <c r="G390" s="1" t="s">
        <v>244</v>
      </c>
      <c r="H390">
        <v>7.5300000000000006E-2</v>
      </c>
      <c r="I390" s="3">
        <f t="shared" si="6"/>
        <v>-2.6744419867283296E-2</v>
      </c>
    </row>
    <row r="391" spans="1:9" x14ac:dyDescent="0.35">
      <c r="A391" s="1" t="s">
        <v>227</v>
      </c>
      <c r="B391" s="2">
        <v>42887</v>
      </c>
      <c r="C391">
        <v>48.4</v>
      </c>
      <c r="D391">
        <v>49.93</v>
      </c>
      <c r="E391">
        <v>50.85</v>
      </c>
      <c r="F391">
        <v>46.35</v>
      </c>
      <c r="G391" s="1" t="s">
        <v>282</v>
      </c>
      <c r="H391">
        <v>-2.6800000000000001E-2</v>
      </c>
      <c r="I391" s="3">
        <f t="shared" si="6"/>
        <v>2.0454545454545496E-2</v>
      </c>
    </row>
    <row r="392" spans="1:9" x14ac:dyDescent="0.35">
      <c r="A392" s="1" t="s">
        <v>227</v>
      </c>
      <c r="B392" s="2">
        <v>42917</v>
      </c>
      <c r="C392">
        <v>49.39</v>
      </c>
      <c r="D392">
        <v>48.64</v>
      </c>
      <c r="E392">
        <v>54.17</v>
      </c>
      <c r="F392">
        <v>47.55</v>
      </c>
      <c r="G392" s="1" t="s">
        <v>281</v>
      </c>
      <c r="H392">
        <v>2.0400000000000001E-2</v>
      </c>
      <c r="I392" s="3">
        <f t="shared" si="6"/>
        <v>-7.2889248835796604E-3</v>
      </c>
    </row>
    <row r="393" spans="1:9" x14ac:dyDescent="0.35">
      <c r="A393" s="1" t="s">
        <v>227</v>
      </c>
      <c r="B393" s="2">
        <v>42948</v>
      </c>
      <c r="C393">
        <v>49.03</v>
      </c>
      <c r="D393">
        <v>49.81</v>
      </c>
      <c r="E393">
        <v>50.32</v>
      </c>
      <c r="F393">
        <v>46.82</v>
      </c>
      <c r="G393" s="1" t="s">
        <v>245</v>
      </c>
      <c r="H393">
        <v>-7.3000000000000001E-3</v>
      </c>
      <c r="I393" s="3">
        <f t="shared" si="6"/>
        <v>-1.9579849071996752E-2</v>
      </c>
    </row>
    <row r="394" spans="1:9" x14ac:dyDescent="0.35">
      <c r="A394" s="1" t="s">
        <v>227</v>
      </c>
      <c r="B394" s="2">
        <v>42979</v>
      </c>
      <c r="C394">
        <v>48.07</v>
      </c>
      <c r="D394">
        <v>49.21</v>
      </c>
      <c r="E394">
        <v>50</v>
      </c>
      <c r="F394">
        <v>46.59</v>
      </c>
      <c r="G394" s="1" t="s">
        <v>280</v>
      </c>
      <c r="H394">
        <v>-1.9599999999999999E-2</v>
      </c>
      <c r="I394" s="3">
        <f t="shared" si="6"/>
        <v>0.14957353858955685</v>
      </c>
    </row>
    <row r="395" spans="1:9" x14ac:dyDescent="0.35">
      <c r="A395" s="1" t="s">
        <v>227</v>
      </c>
      <c r="B395" s="2">
        <v>43009</v>
      </c>
      <c r="C395">
        <v>55.26</v>
      </c>
      <c r="D395">
        <v>48.2</v>
      </c>
      <c r="E395">
        <v>56.14</v>
      </c>
      <c r="F395">
        <v>47.52</v>
      </c>
      <c r="G395" s="1" t="s">
        <v>253</v>
      </c>
      <c r="H395">
        <v>0.1497</v>
      </c>
      <c r="I395" s="3">
        <f t="shared" si="6"/>
        <v>6.4784654361201691E-2</v>
      </c>
    </row>
    <row r="396" spans="1:9" x14ac:dyDescent="0.35">
      <c r="A396" s="1" t="s">
        <v>227</v>
      </c>
      <c r="B396" s="2">
        <v>43040</v>
      </c>
      <c r="C396">
        <v>58.84</v>
      </c>
      <c r="D396">
        <v>55.27</v>
      </c>
      <c r="E396">
        <v>60.67</v>
      </c>
      <c r="F396">
        <v>54.34</v>
      </c>
      <c r="G396" s="1" t="s">
        <v>161</v>
      </c>
      <c r="H396">
        <v>6.4699999999999994E-2</v>
      </c>
      <c r="I396" s="3">
        <f t="shared" si="6"/>
        <v>-6.2882392929980374E-3</v>
      </c>
    </row>
    <row r="397" spans="1:9" x14ac:dyDescent="0.35">
      <c r="A397" s="1" t="s">
        <v>227</v>
      </c>
      <c r="B397" s="2">
        <v>43070</v>
      </c>
      <c r="C397">
        <v>58.47</v>
      </c>
      <c r="D397">
        <v>58.6</v>
      </c>
      <c r="E397">
        <v>59.74</v>
      </c>
      <c r="F397">
        <v>56.24</v>
      </c>
      <c r="G397" s="1" t="s">
        <v>279</v>
      </c>
      <c r="H397">
        <v>-6.1999999999999998E-3</v>
      </c>
      <c r="I397" s="3">
        <f t="shared" si="6"/>
        <v>0.24063622370446397</v>
      </c>
    </row>
    <row r="398" spans="1:9" x14ac:dyDescent="0.35">
      <c r="A398" s="1" t="s">
        <v>227</v>
      </c>
      <c r="B398" s="2">
        <v>43101</v>
      </c>
      <c r="C398">
        <v>72.540000000000006</v>
      </c>
      <c r="D398">
        <v>58.6</v>
      </c>
      <c r="E398">
        <v>73.63</v>
      </c>
      <c r="F398">
        <v>58.53</v>
      </c>
      <c r="G398" s="1" t="s">
        <v>273</v>
      </c>
      <c r="H398">
        <v>0.24060000000000001</v>
      </c>
      <c r="I398" s="3">
        <f t="shared" si="6"/>
        <v>4.2459332781913398E-2</v>
      </c>
    </row>
    <row r="399" spans="1:9" x14ac:dyDescent="0.35">
      <c r="A399" s="1" t="s">
        <v>227</v>
      </c>
      <c r="B399" s="2">
        <v>43132</v>
      </c>
      <c r="C399">
        <v>75.62</v>
      </c>
      <c r="D399">
        <v>72.25</v>
      </c>
      <c r="E399">
        <v>76.430000000000007</v>
      </c>
      <c r="F399">
        <v>63.3</v>
      </c>
      <c r="G399" s="1" t="s">
        <v>278</v>
      </c>
      <c r="H399">
        <v>4.24E-2</v>
      </c>
      <c r="I399" s="3">
        <f t="shared" si="6"/>
        <v>-4.2978048135413907E-2</v>
      </c>
    </row>
    <row r="400" spans="1:9" x14ac:dyDescent="0.35">
      <c r="A400" s="1" t="s">
        <v>227</v>
      </c>
      <c r="B400" s="2">
        <v>43160</v>
      </c>
      <c r="C400">
        <v>72.37</v>
      </c>
      <c r="D400">
        <v>75.680000000000007</v>
      </c>
      <c r="E400">
        <v>80.88</v>
      </c>
      <c r="F400">
        <v>68.260000000000005</v>
      </c>
      <c r="G400" s="1" t="s">
        <v>277</v>
      </c>
      <c r="H400">
        <v>-4.2999999999999997E-2</v>
      </c>
      <c r="I400" s="3">
        <f t="shared" si="6"/>
        <v>8.2078209202708266E-2</v>
      </c>
    </row>
    <row r="401" spans="1:9" x14ac:dyDescent="0.35">
      <c r="A401" s="1" t="s">
        <v>227</v>
      </c>
      <c r="B401" s="2">
        <v>43191</v>
      </c>
      <c r="C401">
        <v>78.31</v>
      </c>
      <c r="D401">
        <v>70.88</v>
      </c>
      <c r="E401">
        <v>81.900000000000006</v>
      </c>
      <c r="F401">
        <v>67.64</v>
      </c>
      <c r="G401" s="1" t="s">
        <v>276</v>
      </c>
      <c r="H401">
        <v>8.2100000000000006E-2</v>
      </c>
      <c r="I401" s="3">
        <f t="shared" si="6"/>
        <v>4.0480143021325521E-2</v>
      </c>
    </row>
    <row r="402" spans="1:9" x14ac:dyDescent="0.35">
      <c r="A402" s="1" t="s">
        <v>227</v>
      </c>
      <c r="B402" s="2">
        <v>43221</v>
      </c>
      <c r="C402">
        <v>81.48</v>
      </c>
      <c r="D402">
        <v>78.16</v>
      </c>
      <c r="E402">
        <v>81.75</v>
      </c>
      <c r="F402">
        <v>77.3</v>
      </c>
      <c r="G402" s="1" t="s">
        <v>242</v>
      </c>
      <c r="H402">
        <v>4.0500000000000001E-2</v>
      </c>
      <c r="I402" s="3">
        <f t="shared" si="6"/>
        <v>4.3078055964653791E-2</v>
      </c>
    </row>
    <row r="403" spans="1:9" x14ac:dyDescent="0.35">
      <c r="A403" s="1" t="s">
        <v>227</v>
      </c>
      <c r="B403" s="2">
        <v>43252</v>
      </c>
      <c r="C403">
        <v>84.99</v>
      </c>
      <c r="D403">
        <v>81.849999999999994</v>
      </c>
      <c r="E403">
        <v>88.15</v>
      </c>
      <c r="F403">
        <v>81.75</v>
      </c>
      <c r="G403" s="1" t="s">
        <v>275</v>
      </c>
      <c r="H403">
        <v>4.3099999999999999E-2</v>
      </c>
      <c r="I403" s="3">
        <f t="shared" si="6"/>
        <v>4.5652429697611602E-2</v>
      </c>
    </row>
    <row r="404" spans="1:9" x14ac:dyDescent="0.35">
      <c r="A404" s="1" t="s">
        <v>227</v>
      </c>
      <c r="B404" s="2">
        <v>43282</v>
      </c>
      <c r="C404">
        <v>88.87</v>
      </c>
      <c r="D404">
        <v>84.14</v>
      </c>
      <c r="E404">
        <v>94</v>
      </c>
      <c r="F404">
        <v>83.9</v>
      </c>
      <c r="G404" s="1" t="s">
        <v>274</v>
      </c>
      <c r="H404">
        <v>4.5699999999999998E-2</v>
      </c>
      <c r="I404" s="3">
        <f t="shared" si="6"/>
        <v>0.13244064363677277</v>
      </c>
    </row>
    <row r="405" spans="1:9" x14ac:dyDescent="0.35">
      <c r="A405" s="1" t="s">
        <v>227</v>
      </c>
      <c r="B405" s="2">
        <v>43313</v>
      </c>
      <c r="C405">
        <v>100.64</v>
      </c>
      <c r="D405">
        <v>89.2</v>
      </c>
      <c r="E405">
        <v>101.28</v>
      </c>
      <c r="F405">
        <v>88.8</v>
      </c>
      <c r="G405" s="1" t="s">
        <v>273</v>
      </c>
      <c r="H405">
        <v>0.13239999999999999</v>
      </c>
      <c r="I405" s="3">
        <f t="shared" si="6"/>
        <v>-4.8688394276629066E-3</v>
      </c>
    </row>
    <row r="406" spans="1:9" x14ac:dyDescent="0.35">
      <c r="A406" s="1" t="s">
        <v>227</v>
      </c>
      <c r="B406" s="2">
        <v>43344</v>
      </c>
      <c r="C406">
        <v>100.15</v>
      </c>
      <c r="D406">
        <v>101.32</v>
      </c>
      <c r="E406">
        <v>102.53</v>
      </c>
      <c r="F406">
        <v>93.25</v>
      </c>
      <c r="G406" s="1" t="s">
        <v>272</v>
      </c>
      <c r="H406">
        <v>-4.7999999999999996E-3</v>
      </c>
      <c r="I406" s="3">
        <f t="shared" si="6"/>
        <v>-0.2021967049425861</v>
      </c>
    </row>
    <row r="407" spans="1:9" x14ac:dyDescent="0.35">
      <c r="A407" s="1" t="s">
        <v>227</v>
      </c>
      <c r="B407" s="2">
        <v>43374</v>
      </c>
      <c r="C407">
        <v>79.900000000000006</v>
      </c>
      <c r="D407">
        <v>101.1</v>
      </c>
      <c r="E407">
        <v>101.66</v>
      </c>
      <c r="F407">
        <v>73.819999999999993</v>
      </c>
      <c r="G407" s="1" t="s">
        <v>271</v>
      </c>
      <c r="H407">
        <v>-0.20219999999999999</v>
      </c>
      <c r="I407" s="3">
        <f t="shared" si="6"/>
        <v>5.7697121401752177E-2</v>
      </c>
    </row>
    <row r="408" spans="1:9" x14ac:dyDescent="0.35">
      <c r="A408" s="1" t="s">
        <v>227</v>
      </c>
      <c r="B408" s="2">
        <v>43405</v>
      </c>
      <c r="C408">
        <v>84.51</v>
      </c>
      <c r="D408">
        <v>81.180000000000007</v>
      </c>
      <c r="E408">
        <v>89.2</v>
      </c>
      <c r="F408">
        <v>71</v>
      </c>
      <c r="G408" s="1" t="s">
        <v>270</v>
      </c>
      <c r="H408">
        <v>5.7700000000000001E-2</v>
      </c>
      <c r="I408" s="3">
        <f t="shared" si="6"/>
        <v>-0.11134776949473447</v>
      </c>
    </row>
    <row r="409" spans="1:9" x14ac:dyDescent="0.35">
      <c r="A409" s="1" t="s">
        <v>227</v>
      </c>
      <c r="B409" s="2">
        <v>43435</v>
      </c>
      <c r="C409">
        <v>75.099999999999994</v>
      </c>
      <c r="D409">
        <v>88.47</v>
      </c>
      <c r="E409">
        <v>88.92</v>
      </c>
      <c r="F409">
        <v>65.349999999999994</v>
      </c>
      <c r="G409" s="1" t="s">
        <v>269</v>
      </c>
      <c r="H409">
        <v>-0.1113</v>
      </c>
      <c r="I409" s="3">
        <f t="shared" si="6"/>
        <v>0.14434087882822907</v>
      </c>
    </row>
    <row r="410" spans="1:9" x14ac:dyDescent="0.35">
      <c r="A410" s="1" t="s">
        <v>227</v>
      </c>
      <c r="B410" s="2">
        <v>43466</v>
      </c>
      <c r="C410">
        <v>85.94</v>
      </c>
      <c r="D410">
        <v>73.260000000000005</v>
      </c>
      <c r="E410">
        <v>86.82</v>
      </c>
      <c r="F410">
        <v>73.05</v>
      </c>
      <c r="G410" s="1" t="s">
        <v>268</v>
      </c>
      <c r="H410">
        <v>0.14430000000000001</v>
      </c>
      <c r="I410" s="3">
        <f t="shared" si="6"/>
        <v>-4.5962299278566474E-2</v>
      </c>
    </row>
    <row r="411" spans="1:9" x14ac:dyDescent="0.35">
      <c r="A411" s="1" t="s">
        <v>227</v>
      </c>
      <c r="B411" s="2">
        <v>43497</v>
      </c>
      <c r="C411">
        <v>81.99</v>
      </c>
      <c r="D411">
        <v>81.94</v>
      </c>
      <c r="E411">
        <v>83.65</v>
      </c>
      <c r="F411">
        <v>78.34</v>
      </c>
      <c r="G411" s="1" t="s">
        <v>163</v>
      </c>
      <c r="H411">
        <v>-4.5900000000000003E-2</v>
      </c>
      <c r="I411" s="3">
        <f t="shared" si="6"/>
        <v>8.5986095865349582E-2</v>
      </c>
    </row>
    <row r="412" spans="1:9" x14ac:dyDescent="0.35">
      <c r="A412" s="1" t="s">
        <v>227</v>
      </c>
      <c r="B412" s="2">
        <v>43525</v>
      </c>
      <c r="C412">
        <v>89.04</v>
      </c>
      <c r="D412">
        <v>82.76</v>
      </c>
      <c r="E412">
        <v>91.19</v>
      </c>
      <c r="F412">
        <v>79.33</v>
      </c>
      <c r="G412" s="1" t="s">
        <v>267</v>
      </c>
      <c r="H412">
        <v>8.5900000000000004E-2</v>
      </c>
      <c r="I412" s="3">
        <f t="shared" si="6"/>
        <v>8.1873315363881302E-2</v>
      </c>
    </row>
    <row r="413" spans="1:9" x14ac:dyDescent="0.35">
      <c r="A413" s="1" t="s">
        <v>227</v>
      </c>
      <c r="B413" s="2">
        <v>43556</v>
      </c>
      <c r="C413">
        <v>96.33</v>
      </c>
      <c r="D413">
        <v>90.01</v>
      </c>
      <c r="E413">
        <v>97.82</v>
      </c>
      <c r="F413">
        <v>89.94</v>
      </c>
      <c r="G413" s="1" t="s">
        <v>170</v>
      </c>
      <c r="H413">
        <v>8.1900000000000001E-2</v>
      </c>
      <c r="I413" s="3">
        <f t="shared" si="6"/>
        <v>-7.8687843870030083E-2</v>
      </c>
    </row>
    <row r="414" spans="1:9" x14ac:dyDescent="0.35">
      <c r="A414" s="1" t="s">
        <v>227</v>
      </c>
      <c r="B414" s="2">
        <v>43586</v>
      </c>
      <c r="C414">
        <v>88.75</v>
      </c>
      <c r="D414">
        <v>96.65</v>
      </c>
      <c r="E414">
        <v>98.22</v>
      </c>
      <c r="F414">
        <v>88.64</v>
      </c>
      <c r="G414" s="1" t="s">
        <v>266</v>
      </c>
      <c r="H414">
        <v>-7.8600000000000003E-2</v>
      </c>
      <c r="I414" s="3">
        <f t="shared" si="6"/>
        <v>6.6816901408450785E-2</v>
      </c>
    </row>
    <row r="415" spans="1:9" x14ac:dyDescent="0.35">
      <c r="A415" s="1" t="s">
        <v>227</v>
      </c>
      <c r="B415" s="2">
        <v>43617</v>
      </c>
      <c r="C415">
        <v>94.68</v>
      </c>
      <c r="D415">
        <v>88</v>
      </c>
      <c r="E415">
        <v>96.76</v>
      </c>
      <c r="F415">
        <v>83.6</v>
      </c>
      <c r="G415" s="1" t="s">
        <v>265</v>
      </c>
      <c r="H415">
        <v>6.6799999999999998E-2</v>
      </c>
      <c r="I415" s="3">
        <f t="shared" si="6"/>
        <v>-1.4152936206168181E-2</v>
      </c>
    </row>
    <row r="416" spans="1:9" x14ac:dyDescent="0.35">
      <c r="A416" s="1" t="s">
        <v>227</v>
      </c>
      <c r="B416" s="2">
        <v>43647</v>
      </c>
      <c r="C416">
        <v>93.34</v>
      </c>
      <c r="D416">
        <v>96.15</v>
      </c>
      <c r="E416">
        <v>101.79</v>
      </c>
      <c r="F416">
        <v>92.47</v>
      </c>
      <c r="G416" s="1" t="s">
        <v>171</v>
      </c>
      <c r="H416">
        <v>-1.4200000000000001E-2</v>
      </c>
      <c r="I416" s="3">
        <f t="shared" si="6"/>
        <v>-4.853224769659311E-2</v>
      </c>
    </row>
    <row r="417" spans="1:9" x14ac:dyDescent="0.35">
      <c r="A417" s="1" t="s">
        <v>227</v>
      </c>
      <c r="B417" s="2">
        <v>43678</v>
      </c>
      <c r="C417">
        <v>88.81</v>
      </c>
      <c r="D417">
        <v>93.59</v>
      </c>
      <c r="E417">
        <v>94.9</v>
      </c>
      <c r="F417">
        <v>87.18</v>
      </c>
      <c r="G417" s="1" t="s">
        <v>264</v>
      </c>
      <c r="H417">
        <v>-4.8500000000000001E-2</v>
      </c>
      <c r="I417" s="3">
        <f t="shared" si="6"/>
        <v>-2.2632586420448204E-2</v>
      </c>
    </row>
    <row r="418" spans="1:9" x14ac:dyDescent="0.35">
      <c r="A418" s="1" t="s">
        <v>227</v>
      </c>
      <c r="B418" s="2">
        <v>43709</v>
      </c>
      <c r="C418">
        <v>86.8</v>
      </c>
      <c r="D418">
        <v>88.5</v>
      </c>
      <c r="E418">
        <v>92.68</v>
      </c>
      <c r="F418">
        <v>85.46</v>
      </c>
      <c r="G418" s="1" t="s">
        <v>241</v>
      </c>
      <c r="H418">
        <v>-2.2700000000000001E-2</v>
      </c>
      <c r="I418" s="3">
        <f t="shared" si="6"/>
        <v>2.3387096774193563E-2</v>
      </c>
    </row>
    <row r="419" spans="1:9" x14ac:dyDescent="0.35">
      <c r="A419" s="1" t="s">
        <v>227</v>
      </c>
      <c r="B419" s="2">
        <v>43739</v>
      </c>
      <c r="C419">
        <v>88.83</v>
      </c>
      <c r="D419">
        <v>87.3</v>
      </c>
      <c r="E419">
        <v>89.94</v>
      </c>
      <c r="F419">
        <v>84.25</v>
      </c>
      <c r="G419" s="1" t="s">
        <v>150</v>
      </c>
      <c r="H419">
        <v>2.35E-2</v>
      </c>
      <c r="I419" s="3">
        <f t="shared" si="6"/>
        <v>1.3621524259822222E-2</v>
      </c>
    </row>
    <row r="420" spans="1:9" x14ac:dyDescent="0.35">
      <c r="A420" s="1" t="s">
        <v>227</v>
      </c>
      <c r="B420" s="2">
        <v>43770</v>
      </c>
      <c r="C420">
        <v>90.04</v>
      </c>
      <c r="D420">
        <v>89.4</v>
      </c>
      <c r="E420">
        <v>91.23</v>
      </c>
      <c r="F420">
        <v>86.14</v>
      </c>
      <c r="G420" s="1" t="s">
        <v>90</v>
      </c>
      <c r="H420">
        <v>1.3599999999999999E-2</v>
      </c>
      <c r="I420" s="3">
        <f t="shared" si="6"/>
        <v>2.6099511328298471E-2</v>
      </c>
    </row>
    <row r="421" spans="1:9" x14ac:dyDescent="0.35">
      <c r="A421" s="1" t="s">
        <v>227</v>
      </c>
      <c r="B421" s="2">
        <v>43800</v>
      </c>
      <c r="C421">
        <v>92.39</v>
      </c>
      <c r="D421">
        <v>90.22</v>
      </c>
      <c r="E421">
        <v>95.07</v>
      </c>
      <c r="F421">
        <v>86.75</v>
      </c>
      <c r="G421" s="1" t="s">
        <v>121</v>
      </c>
      <c r="H421">
        <v>2.6100000000000002E-2</v>
      </c>
      <c r="I421" s="3">
        <f t="shared" si="6"/>
        <v>8.7130641844355414E-2</v>
      </c>
    </row>
    <row r="422" spans="1:9" x14ac:dyDescent="0.35">
      <c r="A422" s="1" t="s">
        <v>227</v>
      </c>
      <c r="B422" s="2">
        <v>43831</v>
      </c>
      <c r="C422">
        <v>100.44</v>
      </c>
      <c r="D422">
        <v>93.75</v>
      </c>
      <c r="E422">
        <v>102.79</v>
      </c>
      <c r="F422">
        <v>90.77</v>
      </c>
      <c r="G422" s="1" t="s">
        <v>263</v>
      </c>
      <c r="H422">
        <v>8.7099999999999997E-2</v>
      </c>
      <c r="I422" s="3">
        <f t="shared" si="6"/>
        <v>-6.2226204699322982E-2</v>
      </c>
    </row>
    <row r="423" spans="1:9" x14ac:dyDescent="0.35">
      <c r="A423" s="1" t="s">
        <v>227</v>
      </c>
      <c r="B423" s="2">
        <v>43862</v>
      </c>
      <c r="C423">
        <v>94.19</v>
      </c>
      <c r="D423">
        <v>100.53</v>
      </c>
      <c r="E423">
        <v>109.3</v>
      </c>
      <c r="F423">
        <v>90.56</v>
      </c>
      <c r="G423" s="1" t="s">
        <v>262</v>
      </c>
      <c r="H423">
        <v>-6.2199999999999998E-2</v>
      </c>
      <c r="I423" s="3">
        <f t="shared" si="6"/>
        <v>3.5035566408323573E-2</v>
      </c>
    </row>
    <row r="424" spans="1:9" x14ac:dyDescent="0.35">
      <c r="A424" s="1" t="s">
        <v>227</v>
      </c>
      <c r="B424" s="2">
        <v>43891</v>
      </c>
      <c r="C424">
        <v>97.49</v>
      </c>
      <c r="D424">
        <v>95.32</v>
      </c>
      <c r="E424">
        <v>99.82</v>
      </c>
      <c r="F424">
        <v>81.3</v>
      </c>
      <c r="G424" s="1" t="s">
        <v>261</v>
      </c>
      <c r="H424">
        <v>3.5000000000000003E-2</v>
      </c>
      <c r="I424" s="3">
        <f t="shared" si="6"/>
        <v>0.26884808698328044</v>
      </c>
    </row>
    <row r="425" spans="1:9" x14ac:dyDescent="0.35">
      <c r="A425" s="1" t="s">
        <v>227</v>
      </c>
      <c r="B425" s="2">
        <v>43922</v>
      </c>
      <c r="C425">
        <v>123.7</v>
      </c>
      <c r="D425">
        <v>96.65</v>
      </c>
      <c r="E425">
        <v>123.75</v>
      </c>
      <c r="F425">
        <v>94.46</v>
      </c>
      <c r="G425" s="1" t="s">
        <v>260</v>
      </c>
      <c r="H425">
        <v>0.26889999999999997</v>
      </c>
      <c r="I425" s="3">
        <f t="shared" si="6"/>
        <v>-1.2772837510105078E-2</v>
      </c>
    </row>
    <row r="426" spans="1:9" x14ac:dyDescent="0.35">
      <c r="A426" s="1" t="s">
        <v>227</v>
      </c>
      <c r="B426" s="2">
        <v>43952</v>
      </c>
      <c r="C426">
        <v>122.12</v>
      </c>
      <c r="D426">
        <v>116.84</v>
      </c>
      <c r="E426">
        <v>126.27</v>
      </c>
      <c r="F426">
        <v>112.82</v>
      </c>
      <c r="G426" s="1" t="s">
        <v>259</v>
      </c>
      <c r="H426">
        <v>-1.2800000000000001E-2</v>
      </c>
      <c r="I426" s="3">
        <f t="shared" si="6"/>
        <v>0.1295447101211922</v>
      </c>
    </row>
    <row r="427" spans="1:9" x14ac:dyDescent="0.35">
      <c r="A427" s="1" t="s">
        <v>227</v>
      </c>
      <c r="B427" s="2">
        <v>43983</v>
      </c>
      <c r="C427">
        <v>137.94</v>
      </c>
      <c r="D427">
        <v>122.4</v>
      </c>
      <c r="E427">
        <v>139.80000000000001</v>
      </c>
      <c r="F427">
        <v>121.86</v>
      </c>
      <c r="G427" s="1" t="s">
        <v>179</v>
      </c>
      <c r="H427">
        <v>0.12959999999999999</v>
      </c>
      <c r="I427" s="3">
        <f t="shared" si="6"/>
        <v>0.14709293895896761</v>
      </c>
    </row>
    <row r="428" spans="1:9" x14ac:dyDescent="0.35">
      <c r="A428" s="1" t="s">
        <v>227</v>
      </c>
      <c r="B428" s="2">
        <v>44013</v>
      </c>
      <c r="C428">
        <v>158.22999999999999</v>
      </c>
      <c r="D428">
        <v>137.9</v>
      </c>
      <c r="E428">
        <v>167.21</v>
      </c>
      <c r="F428">
        <v>137.69999999999999</v>
      </c>
      <c r="G428" s="1" t="s">
        <v>208</v>
      </c>
      <c r="H428">
        <v>0.14710000000000001</v>
      </c>
      <c r="I428" s="3">
        <f t="shared" si="6"/>
        <v>9.0501169184099242E-2</v>
      </c>
    </row>
    <row r="429" spans="1:9" x14ac:dyDescent="0.35">
      <c r="A429" s="1" t="s">
        <v>227</v>
      </c>
      <c r="B429" s="2">
        <v>44044</v>
      </c>
      <c r="C429">
        <v>172.55</v>
      </c>
      <c r="D429">
        <v>159.03</v>
      </c>
      <c r="E429">
        <v>174.75</v>
      </c>
      <c r="F429">
        <v>153.65</v>
      </c>
      <c r="G429" s="1" t="s">
        <v>253</v>
      </c>
      <c r="H429">
        <v>9.0499999999999997E-2</v>
      </c>
      <c r="I429" s="3">
        <f t="shared" si="6"/>
        <v>-8.756882063170103E-2</v>
      </c>
    </row>
    <row r="430" spans="1:9" x14ac:dyDescent="0.35">
      <c r="A430" s="1" t="s">
        <v>227</v>
      </c>
      <c r="B430" s="2">
        <v>44075</v>
      </c>
      <c r="C430">
        <v>157.44</v>
      </c>
      <c r="D430">
        <v>174.48</v>
      </c>
      <c r="E430">
        <v>177.61</v>
      </c>
      <c r="F430">
        <v>143.55000000000001</v>
      </c>
      <c r="G430" s="1" t="s">
        <v>258</v>
      </c>
      <c r="H430">
        <v>-8.7599999999999997E-2</v>
      </c>
      <c r="I430" s="3">
        <f t="shared" si="6"/>
        <v>-3.5759654471544687E-2</v>
      </c>
    </row>
    <row r="431" spans="1:9" x14ac:dyDescent="0.35">
      <c r="A431" s="1" t="s">
        <v>227</v>
      </c>
      <c r="B431" s="2">
        <v>44105</v>
      </c>
      <c r="C431">
        <v>151.81</v>
      </c>
      <c r="D431">
        <v>160.4</v>
      </c>
      <c r="E431">
        <v>174.81</v>
      </c>
      <c r="F431">
        <v>150.94999999999999</v>
      </c>
      <c r="G431" s="1" t="s">
        <v>257</v>
      </c>
      <c r="H431">
        <v>-3.5799999999999998E-2</v>
      </c>
      <c r="I431" s="3">
        <f t="shared" si="6"/>
        <v>4.3409525064225039E-2</v>
      </c>
    </row>
    <row r="432" spans="1:9" x14ac:dyDescent="0.35">
      <c r="A432" s="1" t="s">
        <v>227</v>
      </c>
      <c r="B432" s="2">
        <v>44136</v>
      </c>
      <c r="C432">
        <v>158.4</v>
      </c>
      <c r="D432">
        <v>153.09</v>
      </c>
      <c r="E432">
        <v>168.34</v>
      </c>
      <c r="F432">
        <v>147.51</v>
      </c>
      <c r="G432" s="1" t="s">
        <v>256</v>
      </c>
      <c r="H432">
        <v>4.3400000000000001E-2</v>
      </c>
      <c r="I432" s="3">
        <f t="shared" si="6"/>
        <v>2.8093434343434271E-2</v>
      </c>
    </row>
    <row r="433" spans="1:9" x14ac:dyDescent="0.35">
      <c r="A433" s="1" t="s">
        <v>227</v>
      </c>
      <c r="B433" s="2">
        <v>44166</v>
      </c>
      <c r="C433">
        <v>162.85</v>
      </c>
      <c r="D433">
        <v>159.43</v>
      </c>
      <c r="E433">
        <v>167.53</v>
      </c>
      <c r="F433">
        <v>153.63999999999999</v>
      </c>
      <c r="G433" s="1" t="s">
        <v>245</v>
      </c>
      <c r="H433">
        <v>2.81E-2</v>
      </c>
      <c r="I433" s="3">
        <f t="shared" si="6"/>
        <v>-1.5597175314706738E-2</v>
      </c>
    </row>
    <row r="434" spans="1:9" x14ac:dyDescent="0.35">
      <c r="A434" s="1" t="s">
        <v>227</v>
      </c>
      <c r="B434" s="2">
        <v>44197</v>
      </c>
      <c r="C434">
        <v>160.31</v>
      </c>
      <c r="D434">
        <v>163.5</v>
      </c>
      <c r="E434">
        <v>168.19</v>
      </c>
      <c r="F434">
        <v>154.30000000000001</v>
      </c>
      <c r="G434" s="1" t="s">
        <v>242</v>
      </c>
      <c r="H434">
        <v>-1.5599999999999999E-2</v>
      </c>
      <c r="I434" s="3">
        <f t="shared" si="6"/>
        <v>-3.5306593475141888E-2</v>
      </c>
    </row>
    <row r="435" spans="1:9" x14ac:dyDescent="0.35">
      <c r="A435" s="1" t="s">
        <v>227</v>
      </c>
      <c r="B435" s="2">
        <v>44228</v>
      </c>
      <c r="C435">
        <v>154.65</v>
      </c>
      <c r="D435">
        <v>162.12</v>
      </c>
      <c r="E435">
        <v>171.7</v>
      </c>
      <c r="F435">
        <v>151.84</v>
      </c>
      <c r="G435" s="1" t="s">
        <v>150</v>
      </c>
      <c r="H435">
        <v>-3.5299999999999998E-2</v>
      </c>
      <c r="I435" s="3">
        <f t="shared" si="6"/>
        <v>3.2331070158411214E-4</v>
      </c>
    </row>
    <row r="436" spans="1:9" x14ac:dyDescent="0.35">
      <c r="A436" s="1" t="s">
        <v>227</v>
      </c>
      <c r="B436" s="2">
        <v>44256</v>
      </c>
      <c r="C436">
        <v>154.69999999999999</v>
      </c>
      <c r="D436">
        <v>156.38999999999999</v>
      </c>
      <c r="E436">
        <v>159.1</v>
      </c>
      <c r="F436">
        <v>144.05000000000001</v>
      </c>
      <c r="G436" s="1" t="s">
        <v>255</v>
      </c>
      <c r="H436">
        <v>4.0000000000000002E-4</v>
      </c>
      <c r="I436" s="3">
        <f t="shared" si="6"/>
        <v>0.1206851971557855</v>
      </c>
    </row>
    <row r="437" spans="1:9" x14ac:dyDescent="0.35">
      <c r="A437" s="1" t="s">
        <v>227</v>
      </c>
      <c r="B437" s="2">
        <v>44287</v>
      </c>
      <c r="C437">
        <v>173.37</v>
      </c>
      <c r="D437">
        <v>155.9</v>
      </c>
      <c r="E437">
        <v>177.7</v>
      </c>
      <c r="F437">
        <v>155.78</v>
      </c>
      <c r="G437" s="1" t="s">
        <v>161</v>
      </c>
      <c r="H437">
        <v>0.1207</v>
      </c>
      <c r="I437" s="3">
        <f t="shared" si="6"/>
        <v>-7.048508969256502E-2</v>
      </c>
    </row>
    <row r="438" spans="1:9" x14ac:dyDescent="0.35">
      <c r="A438" s="1" t="s">
        <v>227</v>
      </c>
      <c r="B438" s="2">
        <v>44317</v>
      </c>
      <c r="C438">
        <v>161.15</v>
      </c>
      <c r="D438">
        <v>174.24</v>
      </c>
      <c r="E438">
        <v>174.33</v>
      </c>
      <c r="F438">
        <v>156.37</v>
      </c>
      <c r="G438" s="1" t="s">
        <v>254</v>
      </c>
      <c r="H438">
        <v>-7.0499999999999993E-2</v>
      </c>
      <c r="I438" s="3">
        <f t="shared" si="6"/>
        <v>6.7390629847967634E-2</v>
      </c>
    </row>
    <row r="439" spans="1:9" x14ac:dyDescent="0.35">
      <c r="A439" s="1" t="s">
        <v>227</v>
      </c>
      <c r="B439" s="2">
        <v>44348</v>
      </c>
      <c r="C439">
        <v>172.01</v>
      </c>
      <c r="D439">
        <v>162.16999999999999</v>
      </c>
      <c r="E439">
        <v>176.24</v>
      </c>
      <c r="F439">
        <v>158.61000000000001</v>
      </c>
      <c r="G439" s="1" t="s">
        <v>135</v>
      </c>
      <c r="H439">
        <v>6.7400000000000002E-2</v>
      </c>
      <c r="I439" s="3">
        <f t="shared" si="6"/>
        <v>-3.2730655194465413E-2</v>
      </c>
    </row>
    <row r="440" spans="1:9" x14ac:dyDescent="0.35">
      <c r="A440" s="1" t="s">
        <v>227</v>
      </c>
      <c r="B440" s="2">
        <v>44378</v>
      </c>
      <c r="C440">
        <v>166.38</v>
      </c>
      <c r="D440">
        <v>171.73</v>
      </c>
      <c r="E440">
        <v>188.65</v>
      </c>
      <c r="F440">
        <v>165.35</v>
      </c>
      <c r="G440" s="1" t="s">
        <v>253</v>
      </c>
      <c r="H440">
        <v>-3.27E-2</v>
      </c>
      <c r="I440" s="3">
        <f t="shared" si="6"/>
        <v>4.3034018511840348E-2</v>
      </c>
    </row>
    <row r="441" spans="1:9" x14ac:dyDescent="0.35">
      <c r="A441" s="1" t="s">
        <v>227</v>
      </c>
      <c r="B441" s="2">
        <v>44409</v>
      </c>
      <c r="C441">
        <v>173.54</v>
      </c>
      <c r="D441">
        <v>167.65</v>
      </c>
      <c r="E441">
        <v>173.63</v>
      </c>
      <c r="F441">
        <v>158.79</v>
      </c>
      <c r="G441" s="1" t="s">
        <v>252</v>
      </c>
      <c r="H441">
        <v>4.2999999999999997E-2</v>
      </c>
      <c r="I441" s="3">
        <f t="shared" si="6"/>
        <v>-5.3532326841074063E-2</v>
      </c>
    </row>
    <row r="442" spans="1:9" x14ac:dyDescent="0.35">
      <c r="A442" s="1" t="s">
        <v>227</v>
      </c>
      <c r="B442" s="2">
        <v>44440</v>
      </c>
      <c r="C442">
        <v>164.25</v>
      </c>
      <c r="D442">
        <v>174.82</v>
      </c>
      <c r="E442">
        <v>177.5</v>
      </c>
      <c r="F442">
        <v>163.69999999999999</v>
      </c>
      <c r="G442" s="1" t="s">
        <v>251</v>
      </c>
      <c r="H442">
        <v>-5.3499999999999999E-2</v>
      </c>
      <c r="I442" s="3">
        <f t="shared" si="6"/>
        <v>2.6605783866057865E-2</v>
      </c>
    </row>
    <row r="443" spans="1:9" x14ac:dyDescent="0.35">
      <c r="A443" s="1" t="s">
        <v>227</v>
      </c>
      <c r="B443" s="2">
        <v>44470</v>
      </c>
      <c r="C443">
        <v>168.62</v>
      </c>
      <c r="D443">
        <v>164.45</v>
      </c>
      <c r="E443">
        <v>173.95</v>
      </c>
      <c r="F443">
        <v>158.81</v>
      </c>
      <c r="G443" s="1" t="s">
        <v>250</v>
      </c>
      <c r="H443">
        <v>2.6599999999999999E-2</v>
      </c>
      <c r="I443" s="3">
        <f t="shared" si="6"/>
        <v>3.991222867987184E-2</v>
      </c>
    </row>
    <row r="444" spans="1:9" x14ac:dyDescent="0.35">
      <c r="A444" s="1" t="s">
        <v>227</v>
      </c>
      <c r="B444" s="2">
        <v>44501</v>
      </c>
      <c r="C444">
        <v>175.35</v>
      </c>
      <c r="D444">
        <v>168.09</v>
      </c>
      <c r="E444">
        <v>188.11</v>
      </c>
      <c r="F444">
        <v>164.18</v>
      </c>
      <c r="G444" s="1" t="s">
        <v>244</v>
      </c>
      <c r="H444">
        <v>3.9899999999999998E-2</v>
      </c>
      <c r="I444" s="3">
        <f t="shared" si="6"/>
        <v>-4.9215854006273145E-2</v>
      </c>
    </row>
    <row r="445" spans="1:9" x14ac:dyDescent="0.35">
      <c r="A445" s="1" t="s">
        <v>227</v>
      </c>
      <c r="B445" s="2">
        <v>44531</v>
      </c>
      <c r="C445">
        <v>166.72</v>
      </c>
      <c r="D445">
        <v>177.25</v>
      </c>
      <c r="E445">
        <v>177.99</v>
      </c>
      <c r="F445">
        <v>165.2</v>
      </c>
      <c r="G445" s="1" t="s">
        <v>249</v>
      </c>
      <c r="H445">
        <v>-4.9299999999999997E-2</v>
      </c>
      <c r="I445" s="3">
        <f t="shared" si="6"/>
        <v>-0.10286708253358928</v>
      </c>
    </row>
    <row r="446" spans="1:9" x14ac:dyDescent="0.35">
      <c r="A446" s="1" t="s">
        <v>227</v>
      </c>
      <c r="B446" s="2">
        <v>44562</v>
      </c>
      <c r="C446">
        <v>149.57</v>
      </c>
      <c r="D446">
        <v>167.55</v>
      </c>
      <c r="E446">
        <v>171.4</v>
      </c>
      <c r="F446">
        <v>135.35</v>
      </c>
      <c r="G446" s="1" t="s">
        <v>248</v>
      </c>
      <c r="H446">
        <v>-0.1028</v>
      </c>
      <c r="I446" s="3">
        <f t="shared" si="6"/>
        <v>2.6676472554656744E-2</v>
      </c>
    </row>
    <row r="447" spans="1:9" x14ac:dyDescent="0.35">
      <c r="A447" s="1" t="s">
        <v>227</v>
      </c>
      <c r="B447" s="2">
        <v>44593</v>
      </c>
      <c r="C447">
        <v>153.56</v>
      </c>
      <c r="D447">
        <v>150</v>
      </c>
      <c r="E447">
        <v>163.83000000000001</v>
      </c>
      <c r="F447">
        <v>138.33000000000001</v>
      </c>
      <c r="G447" s="1" t="s">
        <v>247</v>
      </c>
      <c r="H447">
        <v>2.6700000000000002E-2</v>
      </c>
      <c r="I447" s="3">
        <f t="shared" si="6"/>
        <v>6.1474342276634522E-2</v>
      </c>
    </row>
    <row r="448" spans="1:9" x14ac:dyDescent="0.35">
      <c r="A448" s="1" t="s">
        <v>227</v>
      </c>
      <c r="B448" s="2">
        <v>44621</v>
      </c>
      <c r="C448">
        <v>163</v>
      </c>
      <c r="D448">
        <v>152.72999999999999</v>
      </c>
      <c r="E448">
        <v>170.83</v>
      </c>
      <c r="F448">
        <v>133.57</v>
      </c>
      <c r="G448" s="1" t="s">
        <v>170</v>
      </c>
      <c r="H448">
        <v>6.1400000000000003E-2</v>
      </c>
      <c r="I448" s="3">
        <f t="shared" si="6"/>
        <v>-0.23754601226993866</v>
      </c>
    </row>
    <row r="449" spans="1:9" x14ac:dyDescent="0.35">
      <c r="A449" s="1" t="s">
        <v>227</v>
      </c>
      <c r="B449" s="2">
        <v>44652</v>
      </c>
      <c r="C449">
        <v>124.28</v>
      </c>
      <c r="D449">
        <v>164.15</v>
      </c>
      <c r="E449">
        <v>168.39</v>
      </c>
      <c r="F449">
        <v>121.63</v>
      </c>
      <c r="G449" s="1" t="s">
        <v>158</v>
      </c>
      <c r="H449">
        <v>-0.23749999999999999</v>
      </c>
      <c r="I449" s="3">
        <f t="shared" si="6"/>
        <v>-3.274863212101712E-2</v>
      </c>
    </row>
    <row r="450" spans="1:9" x14ac:dyDescent="0.35">
      <c r="A450" s="1" t="s">
        <v>227</v>
      </c>
      <c r="B450" s="2">
        <v>44682</v>
      </c>
      <c r="C450">
        <v>120.21</v>
      </c>
      <c r="D450">
        <v>122.4</v>
      </c>
      <c r="E450">
        <v>126.22</v>
      </c>
      <c r="F450">
        <v>101.26</v>
      </c>
      <c r="G450" s="1" t="s">
        <v>183</v>
      </c>
      <c r="H450">
        <v>-3.2800000000000003E-2</v>
      </c>
      <c r="I450" s="3">
        <f t="shared" ref="I450:I513" si="7">IF(A451=A450, (C451-C450)/C450, 0)</f>
        <v>-0.11646285666749855</v>
      </c>
    </row>
    <row r="451" spans="1:9" x14ac:dyDescent="0.35">
      <c r="A451" s="1" t="s">
        <v>227</v>
      </c>
      <c r="B451" s="2">
        <v>44713</v>
      </c>
      <c r="C451">
        <v>106.21</v>
      </c>
      <c r="D451">
        <v>122.26</v>
      </c>
      <c r="E451">
        <v>128.99</v>
      </c>
      <c r="F451">
        <v>101.43</v>
      </c>
      <c r="G451" s="1" t="s">
        <v>197</v>
      </c>
      <c r="H451">
        <v>-0.11650000000000001</v>
      </c>
      <c r="I451" s="3">
        <f t="shared" si="7"/>
        <v>0.27059598907824117</v>
      </c>
    </row>
    <row r="452" spans="1:9" x14ac:dyDescent="0.35">
      <c r="A452" s="1" t="s">
        <v>227</v>
      </c>
      <c r="B452" s="2">
        <v>44743</v>
      </c>
      <c r="C452">
        <v>134.94999999999999</v>
      </c>
      <c r="D452">
        <v>106.29</v>
      </c>
      <c r="E452">
        <v>137.65</v>
      </c>
      <c r="F452">
        <v>105.85</v>
      </c>
      <c r="G452" s="1" t="s">
        <v>135</v>
      </c>
      <c r="H452">
        <v>0.27060000000000001</v>
      </c>
      <c r="I452" s="3">
        <f t="shared" si="7"/>
        <v>-6.0615042608373422E-2</v>
      </c>
    </row>
    <row r="453" spans="1:9" x14ac:dyDescent="0.35">
      <c r="A453" s="1" t="s">
        <v>227</v>
      </c>
      <c r="B453" s="2">
        <v>44774</v>
      </c>
      <c r="C453">
        <v>126.77</v>
      </c>
      <c r="D453">
        <v>134.96</v>
      </c>
      <c r="E453">
        <v>146.57</v>
      </c>
      <c r="F453">
        <v>126.74</v>
      </c>
      <c r="G453" s="1" t="s">
        <v>154</v>
      </c>
      <c r="H453">
        <v>-6.0600000000000001E-2</v>
      </c>
      <c r="I453" s="3">
        <f t="shared" si="7"/>
        <v>-0.10862191370197993</v>
      </c>
    </row>
    <row r="454" spans="1:9" x14ac:dyDescent="0.35">
      <c r="A454" s="1" t="s">
        <v>227</v>
      </c>
      <c r="B454" s="2">
        <v>44805</v>
      </c>
      <c r="C454">
        <v>113</v>
      </c>
      <c r="D454">
        <v>126</v>
      </c>
      <c r="E454">
        <v>136.49</v>
      </c>
      <c r="F454">
        <v>112.06</v>
      </c>
      <c r="G454" s="1" t="s">
        <v>160</v>
      </c>
      <c r="H454">
        <v>-0.1086</v>
      </c>
      <c r="I454" s="3">
        <f t="shared" si="7"/>
        <v>-9.3451327433628342E-2</v>
      </c>
    </row>
    <row r="455" spans="1:9" x14ac:dyDescent="0.35">
      <c r="A455" s="1" t="s">
        <v>227</v>
      </c>
      <c r="B455" s="2">
        <v>44835</v>
      </c>
      <c r="C455">
        <v>102.44</v>
      </c>
      <c r="D455">
        <v>113.58</v>
      </c>
      <c r="E455">
        <v>123</v>
      </c>
      <c r="F455">
        <v>97.66</v>
      </c>
      <c r="G455" s="1" t="s">
        <v>171</v>
      </c>
      <c r="H455">
        <v>-9.35E-2</v>
      </c>
      <c r="I455" s="3">
        <f t="shared" si="7"/>
        <v>-5.7594689574384926E-2</v>
      </c>
    </row>
    <row r="456" spans="1:9" x14ac:dyDescent="0.35">
      <c r="A456" s="1" t="s">
        <v>227</v>
      </c>
      <c r="B456" s="2">
        <v>44866</v>
      </c>
      <c r="C456">
        <v>96.54</v>
      </c>
      <c r="D456">
        <v>103.99</v>
      </c>
      <c r="E456">
        <v>104.58</v>
      </c>
      <c r="F456">
        <v>85.87</v>
      </c>
      <c r="G456" s="1" t="s">
        <v>246</v>
      </c>
      <c r="H456">
        <v>-5.7599999999999998E-2</v>
      </c>
      <c r="I456" s="3">
        <f t="shared" si="7"/>
        <v>-0.1298943443132381</v>
      </c>
    </row>
    <row r="457" spans="1:9" x14ac:dyDescent="0.35">
      <c r="A457" s="1" t="s">
        <v>227</v>
      </c>
      <c r="B457" s="2">
        <v>44896</v>
      </c>
      <c r="C457">
        <v>84</v>
      </c>
      <c r="D457">
        <v>96.99</v>
      </c>
      <c r="E457">
        <v>97.23</v>
      </c>
      <c r="F457">
        <v>81.69</v>
      </c>
      <c r="G457" s="1" t="s">
        <v>245</v>
      </c>
      <c r="H457">
        <v>-0.12989999999999999</v>
      </c>
      <c r="I457" s="3">
        <f t="shared" si="7"/>
        <v>0.22773809523809518</v>
      </c>
    </row>
    <row r="458" spans="1:9" x14ac:dyDescent="0.35">
      <c r="A458" s="1" t="s">
        <v>227</v>
      </c>
      <c r="B458" s="2">
        <v>44927</v>
      </c>
      <c r="C458">
        <v>103.13</v>
      </c>
      <c r="D458">
        <v>85.46</v>
      </c>
      <c r="E458">
        <v>103.49</v>
      </c>
      <c r="F458">
        <v>81.430000000000007</v>
      </c>
      <c r="G458" s="1" t="s">
        <v>244</v>
      </c>
      <c r="H458">
        <v>0.22770000000000001</v>
      </c>
      <c r="I458" s="3">
        <f t="shared" si="7"/>
        <v>-8.629884611655185E-2</v>
      </c>
    </row>
    <row r="459" spans="1:9" x14ac:dyDescent="0.35">
      <c r="A459" s="1" t="s">
        <v>227</v>
      </c>
      <c r="B459" s="2">
        <v>44958</v>
      </c>
      <c r="C459">
        <v>94.23</v>
      </c>
      <c r="D459">
        <v>102.53</v>
      </c>
      <c r="E459">
        <v>114</v>
      </c>
      <c r="F459">
        <v>92.32</v>
      </c>
      <c r="G459" s="1" t="s">
        <v>243</v>
      </c>
      <c r="H459">
        <v>-8.6300000000000002E-2</v>
      </c>
      <c r="I459" s="3">
        <f t="shared" si="7"/>
        <v>9.6147723654886996E-2</v>
      </c>
    </row>
    <row r="460" spans="1:9" x14ac:dyDescent="0.35">
      <c r="A460" s="1" t="s">
        <v>227</v>
      </c>
      <c r="B460" s="2">
        <v>44986</v>
      </c>
      <c r="C460">
        <v>103.29</v>
      </c>
      <c r="D460">
        <v>93.87</v>
      </c>
      <c r="E460">
        <v>103.49</v>
      </c>
      <c r="F460">
        <v>88.12</v>
      </c>
      <c r="G460" s="1" t="s">
        <v>115</v>
      </c>
      <c r="H460">
        <v>9.6100000000000005E-2</v>
      </c>
      <c r="I460" s="3">
        <f t="shared" si="7"/>
        <v>2.0911995352889887E-2</v>
      </c>
    </row>
    <row r="461" spans="1:9" x14ac:dyDescent="0.35">
      <c r="A461" s="1" t="s">
        <v>227</v>
      </c>
      <c r="B461" s="2">
        <v>45017</v>
      </c>
      <c r="C461">
        <v>105.45</v>
      </c>
      <c r="D461">
        <v>102.3</v>
      </c>
      <c r="E461">
        <v>110.86</v>
      </c>
      <c r="F461">
        <v>97.71</v>
      </c>
      <c r="G461" s="1" t="s">
        <v>240</v>
      </c>
      <c r="H461">
        <v>2.0899999999999998E-2</v>
      </c>
      <c r="I461" s="3">
        <f t="shared" si="7"/>
        <v>0.14348032242769079</v>
      </c>
    </row>
    <row r="462" spans="1:9" x14ac:dyDescent="0.35">
      <c r="A462" s="1" t="s">
        <v>227</v>
      </c>
      <c r="B462" s="2">
        <v>45047</v>
      </c>
      <c r="C462">
        <v>120.58</v>
      </c>
      <c r="D462">
        <v>104.95</v>
      </c>
      <c r="E462">
        <v>122.92</v>
      </c>
      <c r="F462">
        <v>101.15</v>
      </c>
      <c r="G462" s="1" t="s">
        <v>242</v>
      </c>
      <c r="H462">
        <v>0.14349999999999999</v>
      </c>
      <c r="I462" s="3">
        <f t="shared" si="7"/>
        <v>8.1107978105821987E-2</v>
      </c>
    </row>
    <row r="463" spans="1:9" x14ac:dyDescent="0.35">
      <c r="A463" s="1" t="s">
        <v>227</v>
      </c>
      <c r="B463" s="2">
        <v>45078</v>
      </c>
      <c r="C463">
        <v>130.36000000000001</v>
      </c>
      <c r="D463">
        <v>120.69</v>
      </c>
      <c r="E463">
        <v>131.49</v>
      </c>
      <c r="F463">
        <v>119.93</v>
      </c>
      <c r="G463" s="1" t="s">
        <v>241</v>
      </c>
      <c r="H463">
        <v>8.1100000000000005E-2</v>
      </c>
      <c r="I463" s="3">
        <f t="shared" si="7"/>
        <v>2.5467934949370916E-2</v>
      </c>
    </row>
    <row r="464" spans="1:9" x14ac:dyDescent="0.35">
      <c r="A464" s="1" t="s">
        <v>227</v>
      </c>
      <c r="B464" s="2">
        <v>45108</v>
      </c>
      <c r="C464">
        <v>133.68</v>
      </c>
      <c r="D464">
        <v>130.82</v>
      </c>
      <c r="E464">
        <v>136.65</v>
      </c>
      <c r="F464">
        <v>125.92</v>
      </c>
      <c r="G464" s="1" t="s">
        <v>127</v>
      </c>
      <c r="H464">
        <v>2.5499999999999998E-2</v>
      </c>
      <c r="I464" s="3">
        <f t="shared" si="7"/>
        <v>3.2390783961699463E-2</v>
      </c>
    </row>
    <row r="465" spans="1:9" x14ac:dyDescent="0.35">
      <c r="A465" s="1" t="s">
        <v>227</v>
      </c>
      <c r="B465" s="2">
        <v>45139</v>
      </c>
      <c r="C465">
        <v>138.01</v>
      </c>
      <c r="D465">
        <v>133.55000000000001</v>
      </c>
      <c r="E465">
        <v>143.63</v>
      </c>
      <c r="F465">
        <v>126.41</v>
      </c>
      <c r="G465" s="1" t="s">
        <v>160</v>
      </c>
      <c r="H465">
        <v>3.2399999999999998E-2</v>
      </c>
      <c r="I465" s="3">
        <f t="shared" si="7"/>
        <v>-7.8907325556119026E-2</v>
      </c>
    </row>
    <row r="466" spans="1:9" x14ac:dyDescent="0.35">
      <c r="A466" s="1" t="s">
        <v>227</v>
      </c>
      <c r="B466" s="2">
        <v>45170</v>
      </c>
      <c r="C466">
        <v>127.12</v>
      </c>
      <c r="D466">
        <v>139.46</v>
      </c>
      <c r="E466">
        <v>145.86000000000001</v>
      </c>
      <c r="F466">
        <v>123.04</v>
      </c>
      <c r="G466" s="1" t="s">
        <v>65</v>
      </c>
      <c r="H466">
        <v>-7.8899999999999998E-2</v>
      </c>
      <c r="I466" s="3">
        <f t="shared" si="7"/>
        <v>4.6963499056010057E-2</v>
      </c>
    </row>
    <row r="467" spans="1:9" x14ac:dyDescent="0.35">
      <c r="A467" s="1" t="s">
        <v>227</v>
      </c>
      <c r="B467" s="2">
        <v>45200</v>
      </c>
      <c r="C467">
        <v>133.09</v>
      </c>
      <c r="D467">
        <v>127.28</v>
      </c>
      <c r="E467">
        <v>134.47999999999999</v>
      </c>
      <c r="F467">
        <v>118.35</v>
      </c>
      <c r="G467" s="1" t="s">
        <v>240</v>
      </c>
      <c r="H467">
        <v>4.7E-2</v>
      </c>
      <c r="I467" s="3">
        <f t="shared" si="7"/>
        <v>9.7678262829664131E-2</v>
      </c>
    </row>
    <row r="468" spans="1:9" x14ac:dyDescent="0.35">
      <c r="A468" s="1" t="s">
        <v>227</v>
      </c>
      <c r="B468" s="2">
        <v>45231</v>
      </c>
      <c r="C468">
        <v>146.09</v>
      </c>
      <c r="D468">
        <v>133.96</v>
      </c>
      <c r="E468">
        <v>149.26</v>
      </c>
      <c r="F468">
        <v>133.71</v>
      </c>
      <c r="G468" s="1" t="s">
        <v>91</v>
      </c>
      <c r="H468">
        <v>9.7699999999999995E-2</v>
      </c>
      <c r="I468" s="3">
        <f t="shared" si="7"/>
        <v>4.0043808611130084E-2</v>
      </c>
    </row>
    <row r="469" spans="1:9" x14ac:dyDescent="0.35">
      <c r="A469" s="1" t="s">
        <v>227</v>
      </c>
      <c r="B469" s="2">
        <v>45261</v>
      </c>
      <c r="C469">
        <v>151.94</v>
      </c>
      <c r="D469">
        <v>146</v>
      </c>
      <c r="E469">
        <v>155.63</v>
      </c>
      <c r="F469">
        <v>142.81</v>
      </c>
      <c r="G469" s="1" t="s">
        <v>239</v>
      </c>
      <c r="H469">
        <v>0.04</v>
      </c>
      <c r="I469" s="3">
        <f t="shared" si="7"/>
        <v>2.1455837830722593E-2</v>
      </c>
    </row>
    <row r="470" spans="1:9" x14ac:dyDescent="0.35">
      <c r="A470" s="1" t="s">
        <v>227</v>
      </c>
      <c r="B470" s="2">
        <v>45292</v>
      </c>
      <c r="C470">
        <v>155.19999999999999</v>
      </c>
      <c r="D470">
        <v>151.54</v>
      </c>
      <c r="E470">
        <v>161.72999999999999</v>
      </c>
      <c r="F470">
        <v>144.05000000000001</v>
      </c>
      <c r="G470" s="1" t="s">
        <v>238</v>
      </c>
      <c r="H470">
        <v>2.1499999999999998E-2</v>
      </c>
      <c r="I470" s="3">
        <f t="shared" si="7"/>
        <v>0.13891752577319591</v>
      </c>
    </row>
    <row r="471" spans="1:9" x14ac:dyDescent="0.35">
      <c r="A471" s="1" t="s">
        <v>227</v>
      </c>
      <c r="B471" s="2">
        <v>45323</v>
      </c>
      <c r="C471">
        <v>176.76</v>
      </c>
      <c r="D471">
        <v>155.87</v>
      </c>
      <c r="E471">
        <v>177.22</v>
      </c>
      <c r="F471">
        <v>155.62</v>
      </c>
      <c r="G471" s="1" t="s">
        <v>147</v>
      </c>
      <c r="H471">
        <v>0.1389</v>
      </c>
      <c r="I471" s="3">
        <f t="shared" si="7"/>
        <v>2.0479746548993011E-2</v>
      </c>
    </row>
    <row r="472" spans="1:9" x14ac:dyDescent="0.35">
      <c r="A472" s="1" t="s">
        <v>227</v>
      </c>
      <c r="B472" s="2">
        <v>45352</v>
      </c>
      <c r="C472">
        <v>180.38</v>
      </c>
      <c r="D472">
        <v>176.75</v>
      </c>
      <c r="E472">
        <v>181.7</v>
      </c>
      <c r="F472">
        <v>171.47</v>
      </c>
      <c r="G472" s="1" t="s">
        <v>237</v>
      </c>
      <c r="H472">
        <v>2.0500000000000001E-2</v>
      </c>
      <c r="I472" s="3">
        <f t="shared" si="7"/>
        <v>-2.9825923051336044E-2</v>
      </c>
    </row>
    <row r="473" spans="1:9" x14ac:dyDescent="0.35">
      <c r="A473" s="1" t="s">
        <v>227</v>
      </c>
      <c r="B473" s="2">
        <v>45383</v>
      </c>
      <c r="C473">
        <v>175</v>
      </c>
      <c r="D473">
        <v>180.79</v>
      </c>
      <c r="E473">
        <v>189.77</v>
      </c>
      <c r="F473">
        <v>166.32</v>
      </c>
      <c r="G473" s="1" t="s">
        <v>236</v>
      </c>
      <c r="H473">
        <v>-2.98E-2</v>
      </c>
      <c r="I473" s="3">
        <f t="shared" si="7"/>
        <v>8.228571428571415E-3</v>
      </c>
    </row>
    <row r="474" spans="1:9" x14ac:dyDescent="0.35">
      <c r="A474" s="1" t="s">
        <v>227</v>
      </c>
      <c r="B474" s="2">
        <v>45413</v>
      </c>
      <c r="C474">
        <v>176.44</v>
      </c>
      <c r="D474">
        <v>181.63</v>
      </c>
      <c r="E474">
        <v>191.7</v>
      </c>
      <c r="F474">
        <v>173.87</v>
      </c>
      <c r="G474" s="1" t="s">
        <v>235</v>
      </c>
      <c r="H474">
        <v>8.2000000000000007E-3</v>
      </c>
      <c r="I474" s="3">
        <f t="shared" si="7"/>
        <v>9.5273180684652015E-2</v>
      </c>
    </row>
    <row r="475" spans="1:9" x14ac:dyDescent="0.35">
      <c r="A475" s="1" t="s">
        <v>227</v>
      </c>
      <c r="B475" s="2">
        <v>45444</v>
      </c>
      <c r="C475">
        <v>193.25</v>
      </c>
      <c r="D475">
        <v>177.7</v>
      </c>
      <c r="E475">
        <v>199.84</v>
      </c>
      <c r="F475">
        <v>175.92</v>
      </c>
      <c r="G475" s="1" t="s">
        <v>234</v>
      </c>
      <c r="H475">
        <v>9.5299999999999996E-2</v>
      </c>
      <c r="I475" s="3">
        <f t="shared" si="7"/>
        <v>-3.2445019404915967E-2</v>
      </c>
    </row>
    <row r="476" spans="1:9" x14ac:dyDescent="0.35">
      <c r="A476" s="1" t="s">
        <v>227</v>
      </c>
      <c r="B476" s="2">
        <v>45474</v>
      </c>
      <c r="C476">
        <v>186.98</v>
      </c>
      <c r="D476">
        <v>193.49</v>
      </c>
      <c r="E476">
        <v>201.2</v>
      </c>
      <c r="F476">
        <v>176.8</v>
      </c>
      <c r="G476" s="1" t="s">
        <v>233</v>
      </c>
      <c r="H476">
        <v>-3.2399999999999998E-2</v>
      </c>
      <c r="I476" s="3">
        <f t="shared" si="7"/>
        <v>-4.5352444111669644E-2</v>
      </c>
    </row>
    <row r="477" spans="1:9" x14ac:dyDescent="0.35">
      <c r="A477" s="1" t="s">
        <v>227</v>
      </c>
      <c r="B477" s="2">
        <v>45505</v>
      </c>
      <c r="C477">
        <v>178.5</v>
      </c>
      <c r="D477">
        <v>189.29</v>
      </c>
      <c r="E477">
        <v>190.6</v>
      </c>
      <c r="F477">
        <v>151.61000000000001</v>
      </c>
      <c r="G477" s="1" t="s">
        <v>232</v>
      </c>
      <c r="H477">
        <v>-4.5400000000000003E-2</v>
      </c>
      <c r="I477" s="3">
        <f t="shared" si="7"/>
        <v>4.3865546218487463E-2</v>
      </c>
    </row>
    <row r="478" spans="1:9" x14ac:dyDescent="0.35">
      <c r="A478" s="1" t="s">
        <v>227</v>
      </c>
      <c r="B478" s="2">
        <v>45536</v>
      </c>
      <c r="C478">
        <v>186.33</v>
      </c>
      <c r="D478">
        <v>177.55</v>
      </c>
      <c r="E478">
        <v>195.37</v>
      </c>
      <c r="F478">
        <v>171.16</v>
      </c>
      <c r="G478" s="1" t="s">
        <v>231</v>
      </c>
      <c r="H478">
        <v>4.3900000000000002E-2</v>
      </c>
      <c r="I478" s="3">
        <f t="shared" si="7"/>
        <v>3.7567756131590818E-4</v>
      </c>
    </row>
    <row r="479" spans="1:9" x14ac:dyDescent="0.35">
      <c r="A479" s="1" t="s">
        <v>227</v>
      </c>
      <c r="B479" s="2">
        <v>45566</v>
      </c>
      <c r="C479">
        <v>186.4</v>
      </c>
      <c r="D479">
        <v>184.9</v>
      </c>
      <c r="E479">
        <v>195.61</v>
      </c>
      <c r="F479">
        <v>180.25</v>
      </c>
      <c r="G479" s="1" t="s">
        <v>230</v>
      </c>
      <c r="H479">
        <v>4.0000000000000002E-4</v>
      </c>
      <c r="I479" s="3">
        <f t="shared" si="7"/>
        <v>0.11528969957081535</v>
      </c>
    </row>
    <row r="480" spans="1:9" x14ac:dyDescent="0.35">
      <c r="A480" s="1" t="s">
        <v>227</v>
      </c>
      <c r="B480" s="2">
        <v>45597</v>
      </c>
      <c r="C480">
        <v>207.89</v>
      </c>
      <c r="D480">
        <v>199</v>
      </c>
      <c r="E480">
        <v>215.9</v>
      </c>
      <c r="F480">
        <v>194.31</v>
      </c>
      <c r="G480" s="1" t="s">
        <v>229</v>
      </c>
      <c r="H480">
        <v>0.1153</v>
      </c>
      <c r="I480" s="3">
        <f t="shared" si="7"/>
        <v>5.5317716099860505E-2</v>
      </c>
    </row>
    <row r="481" spans="1:9" x14ac:dyDescent="0.35">
      <c r="A481" s="1" t="s">
        <v>227</v>
      </c>
      <c r="B481" s="2">
        <v>45627</v>
      </c>
      <c r="C481">
        <v>219.39</v>
      </c>
      <c r="D481">
        <v>209.96</v>
      </c>
      <c r="E481">
        <v>233</v>
      </c>
      <c r="F481">
        <v>209.51</v>
      </c>
      <c r="G481" s="1" t="s">
        <v>228</v>
      </c>
      <c r="H481">
        <v>5.5300000000000002E-2</v>
      </c>
      <c r="I481" s="3">
        <f t="shared" si="7"/>
        <v>0</v>
      </c>
    </row>
    <row r="482" spans="1:9" x14ac:dyDescent="0.35">
      <c r="A482" s="1" t="s">
        <v>8</v>
      </c>
      <c r="B482" s="2">
        <v>38353</v>
      </c>
      <c r="C482">
        <v>4.9000000000000004</v>
      </c>
      <c r="D482">
        <v>4.9400000000000004</v>
      </c>
      <c r="E482">
        <v>5.14</v>
      </c>
      <c r="F482">
        <v>4.41</v>
      </c>
      <c r="G482" s="1" t="s">
        <v>226</v>
      </c>
      <c r="H482">
        <v>1.66E-2</v>
      </c>
      <c r="I482" s="3">
        <f t="shared" si="7"/>
        <v>-4.0816326530612276E-2</v>
      </c>
    </row>
    <row r="483" spans="1:9" x14ac:dyDescent="0.35">
      <c r="A483" s="1" t="s">
        <v>8</v>
      </c>
      <c r="B483" s="2">
        <v>38384</v>
      </c>
      <c r="C483">
        <v>4.7</v>
      </c>
      <c r="D483">
        <v>4.8600000000000003</v>
      </c>
      <c r="E483">
        <v>5.43</v>
      </c>
      <c r="F483">
        <v>4.53</v>
      </c>
      <c r="G483" s="1" t="s">
        <v>225</v>
      </c>
      <c r="H483">
        <v>-4.0800000000000003E-2</v>
      </c>
      <c r="I483" s="3">
        <f t="shared" si="7"/>
        <v>-3.8297872340425657E-2</v>
      </c>
    </row>
    <row r="484" spans="1:9" x14ac:dyDescent="0.35">
      <c r="A484" s="1" t="s">
        <v>8</v>
      </c>
      <c r="B484" s="2">
        <v>38412</v>
      </c>
      <c r="C484">
        <v>4.5199999999999996</v>
      </c>
      <c r="D484">
        <v>4.74</v>
      </c>
      <c r="E484">
        <v>4.75</v>
      </c>
      <c r="F484">
        <v>4.32</v>
      </c>
      <c r="G484" s="1" t="s">
        <v>224</v>
      </c>
      <c r="H484">
        <v>-3.8300000000000001E-2</v>
      </c>
      <c r="I484" s="3">
        <f t="shared" si="7"/>
        <v>0.21902654867256643</v>
      </c>
    </row>
    <row r="485" spans="1:9" x14ac:dyDescent="0.35">
      <c r="A485" s="1" t="s">
        <v>8</v>
      </c>
      <c r="B485" s="2">
        <v>38443</v>
      </c>
      <c r="C485">
        <v>5.51</v>
      </c>
      <c r="D485">
        <v>4.55</v>
      </c>
      <c r="E485">
        <v>5.62</v>
      </c>
      <c r="F485">
        <v>4.5</v>
      </c>
      <c r="G485" s="1" t="s">
        <v>223</v>
      </c>
      <c r="H485">
        <v>0.219</v>
      </c>
      <c r="I485" s="3">
        <f t="shared" si="7"/>
        <v>0.25952813067150649</v>
      </c>
    </row>
    <row r="486" spans="1:9" x14ac:dyDescent="0.35">
      <c r="A486" s="1" t="s">
        <v>8</v>
      </c>
      <c r="B486" s="2">
        <v>38473</v>
      </c>
      <c r="C486">
        <v>6.94</v>
      </c>
      <c r="D486">
        <v>5.56</v>
      </c>
      <c r="E486">
        <v>6.97</v>
      </c>
      <c r="F486">
        <v>5.51</v>
      </c>
      <c r="G486" s="1" t="s">
        <v>222</v>
      </c>
      <c r="H486">
        <v>0.25950000000000001</v>
      </c>
      <c r="I486" s="3">
        <f t="shared" si="7"/>
        <v>6.0518731988472609E-2</v>
      </c>
    </row>
    <row r="487" spans="1:9" x14ac:dyDescent="0.35">
      <c r="A487" s="1" t="s">
        <v>8</v>
      </c>
      <c r="B487" s="2">
        <v>38504</v>
      </c>
      <c r="C487">
        <v>7.36</v>
      </c>
      <c r="D487">
        <v>7.09</v>
      </c>
      <c r="E487">
        <v>7.74</v>
      </c>
      <c r="F487">
        <v>6.69</v>
      </c>
      <c r="G487" s="1" t="s">
        <v>221</v>
      </c>
      <c r="H487">
        <v>6.0499999999999998E-2</v>
      </c>
      <c r="I487" s="3">
        <f t="shared" si="7"/>
        <v>-2.1739130434782625E-2</v>
      </c>
    </row>
    <row r="488" spans="1:9" x14ac:dyDescent="0.35">
      <c r="A488" s="1" t="s">
        <v>8</v>
      </c>
      <c r="B488" s="2">
        <v>38534</v>
      </c>
      <c r="C488">
        <v>7.2</v>
      </c>
      <c r="D488">
        <v>7.38</v>
      </c>
      <c r="E488">
        <v>7.95</v>
      </c>
      <c r="F488">
        <v>7.18</v>
      </c>
      <c r="G488" s="1" t="s">
        <v>220</v>
      </c>
      <c r="H488">
        <v>-2.1700000000000001E-2</v>
      </c>
      <c r="I488" s="3">
        <f t="shared" si="7"/>
        <v>-5.5555555555555601E-3</v>
      </c>
    </row>
    <row r="489" spans="1:9" x14ac:dyDescent="0.35">
      <c r="A489" s="1" t="s">
        <v>8</v>
      </c>
      <c r="B489" s="2">
        <v>38565</v>
      </c>
      <c r="C489">
        <v>7.16</v>
      </c>
      <c r="D489">
        <v>7.21</v>
      </c>
      <c r="E489">
        <v>7.5</v>
      </c>
      <c r="F489">
        <v>6.84</v>
      </c>
      <c r="G489" s="1" t="s">
        <v>219</v>
      </c>
      <c r="H489">
        <v>-5.5999999999999999E-3</v>
      </c>
      <c r="I489" s="3">
        <f t="shared" si="7"/>
        <v>0.10614525139664802</v>
      </c>
    </row>
    <row r="490" spans="1:9" x14ac:dyDescent="0.35">
      <c r="A490" s="1" t="s">
        <v>8</v>
      </c>
      <c r="B490" s="2">
        <v>38596</v>
      </c>
      <c r="C490">
        <v>7.92</v>
      </c>
      <c r="D490">
        <v>7.15</v>
      </c>
      <c r="E490">
        <v>8.0299999999999994</v>
      </c>
      <c r="F490">
        <v>7.13</v>
      </c>
      <c r="G490" s="1" t="s">
        <v>218</v>
      </c>
      <c r="H490">
        <v>0.1061</v>
      </c>
      <c r="I490" s="3">
        <f t="shared" si="7"/>
        <v>0.17550505050505058</v>
      </c>
    </row>
    <row r="491" spans="1:9" x14ac:dyDescent="0.35">
      <c r="A491" s="1" t="s">
        <v>8</v>
      </c>
      <c r="B491" s="2">
        <v>38626</v>
      </c>
      <c r="C491">
        <v>9.31</v>
      </c>
      <c r="D491">
        <v>7.85</v>
      </c>
      <c r="E491">
        <v>9.3800000000000008</v>
      </c>
      <c r="F491">
        <v>7.27</v>
      </c>
      <c r="G491" s="1" t="s">
        <v>217</v>
      </c>
      <c r="H491">
        <v>0.17549999999999999</v>
      </c>
      <c r="I491" s="3">
        <f t="shared" si="7"/>
        <v>8.8077336197636968E-2</v>
      </c>
    </row>
    <row r="492" spans="1:9" x14ac:dyDescent="0.35">
      <c r="A492" s="1" t="s">
        <v>8</v>
      </c>
      <c r="B492" s="2">
        <v>38657</v>
      </c>
      <c r="C492">
        <v>10.130000000000001</v>
      </c>
      <c r="D492">
        <v>9.31</v>
      </c>
      <c r="E492">
        <v>10.79</v>
      </c>
      <c r="F492">
        <v>9.23</v>
      </c>
      <c r="G492" s="1" t="s">
        <v>216</v>
      </c>
      <c r="H492">
        <v>8.8099999999999998E-2</v>
      </c>
      <c r="I492" s="3">
        <f t="shared" si="7"/>
        <v>2.4679170779861793E-2</v>
      </c>
    </row>
    <row r="493" spans="1:9" x14ac:dyDescent="0.35">
      <c r="A493" s="1" t="s">
        <v>8</v>
      </c>
      <c r="B493" s="2">
        <v>38687</v>
      </c>
      <c r="C493">
        <v>10.38</v>
      </c>
      <c r="D493">
        <v>10.24</v>
      </c>
      <c r="E493">
        <v>11.17</v>
      </c>
      <c r="F493">
        <v>9.98</v>
      </c>
      <c r="G493" s="1" t="s">
        <v>215</v>
      </c>
      <c r="H493">
        <v>2.47E-2</v>
      </c>
      <c r="I493" s="3">
        <f t="shared" si="7"/>
        <v>4.3352601156069294E-2</v>
      </c>
    </row>
    <row r="494" spans="1:9" x14ac:dyDescent="0.35">
      <c r="A494" s="1" t="s">
        <v>8</v>
      </c>
      <c r="B494" s="2">
        <v>38718</v>
      </c>
      <c r="C494">
        <v>10.83</v>
      </c>
      <c r="D494">
        <v>10.57</v>
      </c>
      <c r="E494">
        <v>11.89</v>
      </c>
      <c r="F494">
        <v>9.8800000000000008</v>
      </c>
      <c r="G494" s="1" t="s">
        <v>214</v>
      </c>
      <c r="H494">
        <v>4.3400000000000001E-2</v>
      </c>
      <c r="I494" s="3">
        <f t="shared" si="7"/>
        <v>-0.16251154201292703</v>
      </c>
    </row>
    <row r="495" spans="1:9" x14ac:dyDescent="0.35">
      <c r="A495" s="1" t="s">
        <v>8</v>
      </c>
      <c r="B495" s="2">
        <v>38749</v>
      </c>
      <c r="C495">
        <v>9.07</v>
      </c>
      <c r="D495">
        <v>9.74</v>
      </c>
      <c r="E495">
        <v>10.17</v>
      </c>
      <c r="F495">
        <v>8.4499999999999993</v>
      </c>
      <c r="G495" s="1" t="s">
        <v>213</v>
      </c>
      <c r="H495">
        <v>-0.16250000000000001</v>
      </c>
      <c r="I495" s="3">
        <f t="shared" si="7"/>
        <v>7.6074972436604132E-2</v>
      </c>
    </row>
    <row r="496" spans="1:9" x14ac:dyDescent="0.35">
      <c r="A496" s="1" t="s">
        <v>8</v>
      </c>
      <c r="B496" s="2">
        <v>38777</v>
      </c>
      <c r="C496">
        <v>9.76</v>
      </c>
      <c r="D496">
        <v>9.2200000000000006</v>
      </c>
      <c r="E496">
        <v>9.98</v>
      </c>
      <c r="F496">
        <v>8.3000000000000007</v>
      </c>
      <c r="G496" s="1" t="s">
        <v>212</v>
      </c>
      <c r="H496">
        <v>7.6100000000000001E-2</v>
      </c>
      <c r="I496" s="3">
        <f t="shared" si="7"/>
        <v>7.1721311475409943E-2</v>
      </c>
    </row>
    <row r="497" spans="1:9" x14ac:dyDescent="0.35">
      <c r="A497" s="1" t="s">
        <v>8</v>
      </c>
      <c r="B497" s="2">
        <v>38808</v>
      </c>
      <c r="C497">
        <v>10.46</v>
      </c>
      <c r="D497">
        <v>9.75</v>
      </c>
      <c r="E497">
        <v>11.28</v>
      </c>
      <c r="F497">
        <v>9.7100000000000009</v>
      </c>
      <c r="G497" s="1" t="s">
        <v>211</v>
      </c>
      <c r="H497">
        <v>7.17E-2</v>
      </c>
      <c r="I497" s="3">
        <f t="shared" si="7"/>
        <v>-0.11089866156787763</v>
      </c>
    </row>
    <row r="498" spans="1:9" x14ac:dyDescent="0.35">
      <c r="A498" s="1" t="s">
        <v>8</v>
      </c>
      <c r="B498" s="2">
        <v>38838</v>
      </c>
      <c r="C498">
        <v>9.3000000000000007</v>
      </c>
      <c r="D498">
        <v>10.47</v>
      </c>
      <c r="E498">
        <v>10.5</v>
      </c>
      <c r="F498">
        <v>9.02</v>
      </c>
      <c r="G498" s="1" t="s">
        <v>210</v>
      </c>
      <c r="H498">
        <v>-0.1109</v>
      </c>
      <c r="I498" s="3">
        <f t="shared" si="7"/>
        <v>0.12795698924731178</v>
      </c>
    </row>
    <row r="499" spans="1:9" x14ac:dyDescent="0.35">
      <c r="A499" s="1" t="s">
        <v>8</v>
      </c>
      <c r="B499" s="2">
        <v>38869</v>
      </c>
      <c r="C499">
        <v>10.49</v>
      </c>
      <c r="D499">
        <v>9.35</v>
      </c>
      <c r="E499">
        <v>10.49</v>
      </c>
      <c r="F499">
        <v>9.3000000000000007</v>
      </c>
      <c r="G499" s="1" t="s">
        <v>209</v>
      </c>
      <c r="H499">
        <v>0.128</v>
      </c>
      <c r="I499" s="3">
        <f t="shared" si="7"/>
        <v>-7.8169685414680667E-2</v>
      </c>
    </row>
    <row r="500" spans="1:9" x14ac:dyDescent="0.35">
      <c r="A500" s="1" t="s">
        <v>8</v>
      </c>
      <c r="B500" s="2">
        <v>38899</v>
      </c>
      <c r="C500">
        <v>9.67</v>
      </c>
      <c r="D500">
        <v>10.51</v>
      </c>
      <c r="E500">
        <v>10.71</v>
      </c>
      <c r="F500">
        <v>9.4499999999999993</v>
      </c>
      <c r="G500" s="1" t="s">
        <v>208</v>
      </c>
      <c r="H500">
        <v>-7.8200000000000006E-2</v>
      </c>
      <c r="I500" s="3">
        <f t="shared" si="7"/>
        <v>-2.0682523267838603E-2</v>
      </c>
    </row>
    <row r="501" spans="1:9" x14ac:dyDescent="0.35">
      <c r="A501" s="1" t="s">
        <v>8</v>
      </c>
      <c r="B501" s="2">
        <v>38930</v>
      </c>
      <c r="C501">
        <v>9.4700000000000006</v>
      </c>
      <c r="D501">
        <v>9.64</v>
      </c>
      <c r="E501">
        <v>9.76</v>
      </c>
      <c r="F501">
        <v>9.09</v>
      </c>
      <c r="G501" s="1" t="s">
        <v>162</v>
      </c>
      <c r="H501">
        <v>-2.07E-2</v>
      </c>
      <c r="I501" s="3">
        <f t="shared" si="7"/>
        <v>6.2302006335797237E-2</v>
      </c>
    </row>
    <row r="502" spans="1:9" x14ac:dyDescent="0.35">
      <c r="A502" s="1" t="s">
        <v>8</v>
      </c>
      <c r="B502" s="2">
        <v>38961</v>
      </c>
      <c r="C502">
        <v>10.06</v>
      </c>
      <c r="D502">
        <v>9.5299999999999994</v>
      </c>
      <c r="E502">
        <v>10.48</v>
      </c>
      <c r="F502">
        <v>9.43</v>
      </c>
      <c r="G502" s="1" t="s">
        <v>207</v>
      </c>
      <c r="H502">
        <v>6.2300000000000001E-2</v>
      </c>
      <c r="I502" s="3">
        <f t="shared" si="7"/>
        <v>0.18489065606361824</v>
      </c>
    </row>
    <row r="503" spans="1:9" x14ac:dyDescent="0.35">
      <c r="A503" s="1" t="s">
        <v>8</v>
      </c>
      <c r="B503" s="2">
        <v>38991</v>
      </c>
      <c r="C503">
        <v>11.92</v>
      </c>
      <c r="D503">
        <v>10.06</v>
      </c>
      <c r="E503">
        <v>12.31</v>
      </c>
      <c r="F503">
        <v>9.9600000000000009</v>
      </c>
      <c r="G503" s="1" t="s">
        <v>206</v>
      </c>
      <c r="H503">
        <v>0.18490000000000001</v>
      </c>
      <c r="I503" s="3">
        <f t="shared" si="7"/>
        <v>1.7617449664429602E-2</v>
      </c>
    </row>
    <row r="504" spans="1:9" x14ac:dyDescent="0.35">
      <c r="A504" s="1" t="s">
        <v>8</v>
      </c>
      <c r="B504" s="2">
        <v>39022</v>
      </c>
      <c r="C504">
        <v>12.13</v>
      </c>
      <c r="D504">
        <v>11.98</v>
      </c>
      <c r="E504">
        <v>12.84</v>
      </c>
      <c r="F504">
        <v>11.64</v>
      </c>
      <c r="G504" s="1" t="s">
        <v>202</v>
      </c>
      <c r="H504">
        <v>1.7600000000000001E-2</v>
      </c>
      <c r="I504" s="3">
        <f t="shared" si="7"/>
        <v>-5.028854080791436E-2</v>
      </c>
    </row>
    <row r="505" spans="1:9" x14ac:dyDescent="0.35">
      <c r="A505" s="1" t="s">
        <v>8</v>
      </c>
      <c r="B505" s="2">
        <v>39052</v>
      </c>
      <c r="C505">
        <v>11.52</v>
      </c>
      <c r="D505">
        <v>12.16</v>
      </c>
      <c r="E505">
        <v>12.32</v>
      </c>
      <c r="F505">
        <v>11.32</v>
      </c>
      <c r="G505" s="1" t="s">
        <v>205</v>
      </c>
      <c r="H505">
        <v>-5.0299999999999997E-2</v>
      </c>
      <c r="I505" s="3">
        <f t="shared" si="7"/>
        <v>8.9409722222222321E-2</v>
      </c>
    </row>
    <row r="506" spans="1:9" x14ac:dyDescent="0.35">
      <c r="A506" s="1" t="s">
        <v>8</v>
      </c>
      <c r="B506" s="2">
        <v>39083</v>
      </c>
      <c r="C506">
        <v>12.55</v>
      </c>
      <c r="D506">
        <v>11.65</v>
      </c>
      <c r="E506">
        <v>12.84</v>
      </c>
      <c r="F506">
        <v>11.54</v>
      </c>
      <c r="G506" s="1" t="s">
        <v>204</v>
      </c>
      <c r="H506">
        <v>8.9399999999999993E-2</v>
      </c>
      <c r="I506" s="3">
        <f t="shared" si="7"/>
        <v>-0.10358565737051798</v>
      </c>
    </row>
    <row r="507" spans="1:9" x14ac:dyDescent="0.35">
      <c r="A507" s="1" t="s">
        <v>8</v>
      </c>
      <c r="B507" s="2">
        <v>39114</v>
      </c>
      <c r="C507">
        <v>11.25</v>
      </c>
      <c r="D507">
        <v>12.66</v>
      </c>
      <c r="E507">
        <v>12.66</v>
      </c>
      <c r="F507">
        <v>11.09</v>
      </c>
      <c r="G507" s="1" t="s">
        <v>203</v>
      </c>
      <c r="H507">
        <v>-0.1036</v>
      </c>
      <c r="I507" s="3">
        <f t="shared" si="7"/>
        <v>1.9555555555555611E-2</v>
      </c>
    </row>
    <row r="508" spans="1:9" x14ac:dyDescent="0.35">
      <c r="A508" s="1" t="s">
        <v>8</v>
      </c>
      <c r="B508" s="2">
        <v>39142</v>
      </c>
      <c r="C508">
        <v>11.47</v>
      </c>
      <c r="D508">
        <v>11.08</v>
      </c>
      <c r="E508">
        <v>11.66</v>
      </c>
      <c r="F508">
        <v>10.94</v>
      </c>
      <c r="G508" s="1" t="s">
        <v>202</v>
      </c>
      <c r="H508">
        <v>1.9599999999999999E-2</v>
      </c>
      <c r="I508" s="3">
        <f t="shared" si="7"/>
        <v>2.8770706190061033E-2</v>
      </c>
    </row>
    <row r="509" spans="1:9" x14ac:dyDescent="0.35">
      <c r="A509" s="1" t="s">
        <v>8</v>
      </c>
      <c r="B509" s="2">
        <v>39173</v>
      </c>
      <c r="C509">
        <v>11.8</v>
      </c>
      <c r="D509">
        <v>11.46</v>
      </c>
      <c r="E509">
        <v>12.32</v>
      </c>
      <c r="F509">
        <v>11.31</v>
      </c>
      <c r="G509" s="1" t="s">
        <v>201</v>
      </c>
      <c r="H509">
        <v>2.8799999999999999E-2</v>
      </c>
      <c r="I509" s="3">
        <f t="shared" si="7"/>
        <v>5.5932203389830515E-2</v>
      </c>
    </row>
    <row r="510" spans="1:9" x14ac:dyDescent="0.35">
      <c r="A510" s="1" t="s">
        <v>8</v>
      </c>
      <c r="B510" s="2">
        <v>39203</v>
      </c>
      <c r="C510">
        <v>12.46</v>
      </c>
      <c r="D510">
        <v>11.82</v>
      </c>
      <c r="E510">
        <v>12.73</v>
      </c>
      <c r="F510">
        <v>11.45</v>
      </c>
      <c r="G510" s="1" t="s">
        <v>200</v>
      </c>
      <c r="H510">
        <v>5.5899999999999998E-2</v>
      </c>
      <c r="I510" s="3">
        <f t="shared" si="7"/>
        <v>4.9759229534510369E-2</v>
      </c>
    </row>
    <row r="511" spans="1:9" x14ac:dyDescent="0.35">
      <c r="A511" s="1" t="s">
        <v>8</v>
      </c>
      <c r="B511" s="2">
        <v>39234</v>
      </c>
      <c r="C511">
        <v>13.08</v>
      </c>
      <c r="D511">
        <v>12.54</v>
      </c>
      <c r="E511">
        <v>13.39</v>
      </c>
      <c r="F511">
        <v>12.45</v>
      </c>
      <c r="G511" s="1" t="s">
        <v>199</v>
      </c>
      <c r="H511">
        <v>4.9799999999999997E-2</v>
      </c>
      <c r="I511" s="3">
        <f t="shared" si="7"/>
        <v>-2.4464831804281367E-2</v>
      </c>
    </row>
    <row r="512" spans="1:9" x14ac:dyDescent="0.35">
      <c r="A512" s="1" t="s">
        <v>8</v>
      </c>
      <c r="B512" s="2">
        <v>39264</v>
      </c>
      <c r="C512">
        <v>12.76</v>
      </c>
      <c r="D512">
        <v>13.15</v>
      </c>
      <c r="E512">
        <v>13.98</v>
      </c>
      <c r="F512">
        <v>12.48</v>
      </c>
      <c r="G512" s="1" t="s">
        <v>198</v>
      </c>
      <c r="H512">
        <v>-2.4500000000000001E-2</v>
      </c>
      <c r="I512" s="3">
        <f t="shared" si="7"/>
        <v>1.0188087774294733E-2</v>
      </c>
    </row>
    <row r="513" spans="1:9" x14ac:dyDescent="0.35">
      <c r="A513" s="1" t="s">
        <v>8</v>
      </c>
      <c r="B513" s="2">
        <v>39295</v>
      </c>
      <c r="C513">
        <v>12.89</v>
      </c>
      <c r="D513">
        <v>12.77</v>
      </c>
      <c r="E513">
        <v>13.18</v>
      </c>
      <c r="F513">
        <v>12.02</v>
      </c>
      <c r="G513" s="1" t="s">
        <v>197</v>
      </c>
      <c r="H513">
        <v>1.0200000000000001E-2</v>
      </c>
      <c r="I513" s="3">
        <f t="shared" si="7"/>
        <v>0.10162916989914653</v>
      </c>
    </row>
    <row r="514" spans="1:9" x14ac:dyDescent="0.35">
      <c r="A514" s="1" t="s">
        <v>8</v>
      </c>
      <c r="B514" s="2">
        <v>39326</v>
      </c>
      <c r="C514">
        <v>14.2</v>
      </c>
      <c r="D514">
        <v>12.89</v>
      </c>
      <c r="E514">
        <v>14.31</v>
      </c>
      <c r="F514">
        <v>12.78</v>
      </c>
      <c r="G514" s="1" t="s">
        <v>169</v>
      </c>
      <c r="H514">
        <v>0.1016</v>
      </c>
      <c r="I514" s="3">
        <f t="shared" ref="I514:I577" si="8">IF(A515=A514, (C515-C514)/C514, 0)</f>
        <v>0.24577464788732409</v>
      </c>
    </row>
    <row r="515" spans="1:9" x14ac:dyDescent="0.35">
      <c r="A515" s="1" t="s">
        <v>8</v>
      </c>
      <c r="B515" s="2">
        <v>39356</v>
      </c>
      <c r="C515">
        <v>17.690000000000001</v>
      </c>
      <c r="D515">
        <v>14.26</v>
      </c>
      <c r="E515">
        <v>17.690000000000001</v>
      </c>
      <c r="F515">
        <v>14.25</v>
      </c>
      <c r="G515" s="1" t="s">
        <v>196</v>
      </c>
      <c r="H515">
        <v>0.24579999999999999</v>
      </c>
      <c r="I515" s="3">
        <f t="shared" si="8"/>
        <v>-1.9785189372526931E-2</v>
      </c>
    </row>
    <row r="516" spans="1:9" x14ac:dyDescent="0.35">
      <c r="A516" s="1" t="s">
        <v>8</v>
      </c>
      <c r="B516" s="2">
        <v>39387</v>
      </c>
      <c r="C516">
        <v>17.34</v>
      </c>
      <c r="D516">
        <v>17.59</v>
      </c>
      <c r="E516">
        <v>18.7</v>
      </c>
      <c r="F516">
        <v>15.42</v>
      </c>
      <c r="G516" s="1" t="s">
        <v>195</v>
      </c>
      <c r="H516">
        <v>-1.9800000000000002E-2</v>
      </c>
      <c r="I516" s="3">
        <f t="shared" si="8"/>
        <v>-2.3068050749711156E-3</v>
      </c>
    </row>
    <row r="517" spans="1:9" x14ac:dyDescent="0.35">
      <c r="A517" s="1" t="s">
        <v>8</v>
      </c>
      <c r="B517" s="2">
        <v>39417</v>
      </c>
      <c r="C517">
        <v>17.3</v>
      </c>
      <c r="D517">
        <v>17.29</v>
      </c>
      <c r="E517">
        <v>18.14</v>
      </c>
      <c r="F517">
        <v>16.329999999999998</v>
      </c>
      <c r="G517" s="1" t="s">
        <v>194</v>
      </c>
      <c r="H517">
        <v>-2.3E-3</v>
      </c>
      <c r="I517" s="3">
        <f t="shared" si="8"/>
        <v>-0.18381502890173418</v>
      </c>
    </row>
    <row r="518" spans="1:9" x14ac:dyDescent="0.35">
      <c r="A518" s="1" t="s">
        <v>8</v>
      </c>
      <c r="B518" s="2">
        <v>39448</v>
      </c>
      <c r="C518">
        <v>14.12</v>
      </c>
      <c r="D518">
        <v>17.34</v>
      </c>
      <c r="E518">
        <v>17.45</v>
      </c>
      <c r="F518">
        <v>12.99</v>
      </c>
      <c r="G518" s="1" t="s">
        <v>184</v>
      </c>
      <c r="H518">
        <v>-0.18379999999999999</v>
      </c>
      <c r="I518" s="3">
        <f t="shared" si="8"/>
        <v>-0.16501416430594903</v>
      </c>
    </row>
    <row r="519" spans="1:9" x14ac:dyDescent="0.35">
      <c r="A519" s="1" t="s">
        <v>8</v>
      </c>
      <c r="B519" s="2">
        <v>39479</v>
      </c>
      <c r="C519">
        <v>11.79</v>
      </c>
      <c r="D519">
        <v>13.24</v>
      </c>
      <c r="E519">
        <v>13.54</v>
      </c>
      <c r="F519">
        <v>11.18</v>
      </c>
      <c r="G519" s="1" t="s">
        <v>193</v>
      </c>
      <c r="H519">
        <v>-0.16500000000000001</v>
      </c>
      <c r="I519" s="3">
        <f t="shared" si="8"/>
        <v>-6.5309584393553832E-2</v>
      </c>
    </row>
    <row r="520" spans="1:9" x14ac:dyDescent="0.35">
      <c r="A520" s="1" t="s">
        <v>8</v>
      </c>
      <c r="B520" s="2">
        <v>39508</v>
      </c>
      <c r="C520">
        <v>11.02</v>
      </c>
      <c r="D520">
        <v>11.8</v>
      </c>
      <c r="E520">
        <v>11.83</v>
      </c>
      <c r="F520">
        <v>10.31</v>
      </c>
      <c r="G520" s="1" t="s">
        <v>192</v>
      </c>
      <c r="H520">
        <v>-6.5299999999999997E-2</v>
      </c>
      <c r="I520" s="3">
        <f t="shared" si="8"/>
        <v>0.3039927404718693</v>
      </c>
    </row>
    <row r="521" spans="1:9" x14ac:dyDescent="0.35">
      <c r="A521" s="1" t="s">
        <v>8</v>
      </c>
      <c r="B521" s="2">
        <v>39539</v>
      </c>
      <c r="C521">
        <v>14.37</v>
      </c>
      <c r="D521">
        <v>11.2</v>
      </c>
      <c r="E521">
        <v>14.64</v>
      </c>
      <c r="F521">
        <v>11.04</v>
      </c>
      <c r="G521" s="1" t="s">
        <v>191</v>
      </c>
      <c r="H521">
        <v>0.30399999999999999</v>
      </c>
      <c r="I521" s="3">
        <f t="shared" si="8"/>
        <v>2.0180932498260331E-2</v>
      </c>
    </row>
    <row r="522" spans="1:9" x14ac:dyDescent="0.35">
      <c r="A522" s="1" t="s">
        <v>8</v>
      </c>
      <c r="B522" s="2">
        <v>39569</v>
      </c>
      <c r="C522">
        <v>14.66</v>
      </c>
      <c r="D522">
        <v>14.47</v>
      </c>
      <c r="E522">
        <v>15.08</v>
      </c>
      <c r="F522">
        <v>13.46</v>
      </c>
      <c r="G522" s="1" t="s">
        <v>190</v>
      </c>
      <c r="H522">
        <v>2.0199999999999999E-2</v>
      </c>
      <c r="I522" s="3">
        <f t="shared" si="8"/>
        <v>-0.10163710777626195</v>
      </c>
    </row>
    <row r="523" spans="1:9" x14ac:dyDescent="0.35">
      <c r="A523" s="1" t="s">
        <v>8</v>
      </c>
      <c r="B523" s="2">
        <v>39600</v>
      </c>
      <c r="C523">
        <v>13.17</v>
      </c>
      <c r="D523">
        <v>14.58</v>
      </c>
      <c r="E523">
        <v>14.72</v>
      </c>
      <c r="F523">
        <v>12.89</v>
      </c>
      <c r="G523" s="1" t="s">
        <v>189</v>
      </c>
      <c r="H523">
        <v>-0.1016</v>
      </c>
      <c r="I523" s="3">
        <f t="shared" si="8"/>
        <v>-9.9468488990129125E-2</v>
      </c>
    </row>
    <row r="524" spans="1:9" x14ac:dyDescent="0.35">
      <c r="A524" s="1" t="s">
        <v>8</v>
      </c>
      <c r="B524" s="2">
        <v>39630</v>
      </c>
      <c r="C524">
        <v>11.86</v>
      </c>
      <c r="D524">
        <v>13</v>
      </c>
      <c r="E524">
        <v>13.91</v>
      </c>
      <c r="F524">
        <v>11.65</v>
      </c>
      <c r="G524" s="1" t="s">
        <v>188</v>
      </c>
      <c r="H524">
        <v>-9.9500000000000005E-2</v>
      </c>
      <c r="I524" s="3">
        <f t="shared" si="8"/>
        <v>-2.2765598650927452E-2</v>
      </c>
    </row>
    <row r="525" spans="1:9" x14ac:dyDescent="0.35">
      <c r="A525" s="1" t="s">
        <v>8</v>
      </c>
      <c r="B525" s="2">
        <v>39661</v>
      </c>
      <c r="C525">
        <v>11.59</v>
      </c>
      <c r="D525">
        <v>11.82</v>
      </c>
      <c r="E525">
        <v>12.78</v>
      </c>
      <c r="F525">
        <v>11.56</v>
      </c>
      <c r="G525" s="1" t="s">
        <v>187</v>
      </c>
      <c r="H525">
        <v>-2.2800000000000001E-2</v>
      </c>
      <c r="I525" s="3">
        <f t="shared" si="8"/>
        <v>-0.13546160483175154</v>
      </c>
    </row>
    <row r="526" spans="1:9" x14ac:dyDescent="0.35">
      <c r="A526" s="1" t="s">
        <v>8</v>
      </c>
      <c r="B526" s="2">
        <v>39692</v>
      </c>
      <c r="C526">
        <v>10.02</v>
      </c>
      <c r="D526">
        <v>11.93</v>
      </c>
      <c r="E526">
        <v>12.07</v>
      </c>
      <c r="F526">
        <v>9.5299999999999994</v>
      </c>
      <c r="G526" s="1" t="s">
        <v>186</v>
      </c>
      <c r="H526">
        <v>-0.13550000000000001</v>
      </c>
      <c r="I526" s="3">
        <f t="shared" si="8"/>
        <v>-0.10279441117764465</v>
      </c>
    </row>
    <row r="527" spans="1:9" x14ac:dyDescent="0.35">
      <c r="A527" s="1" t="s">
        <v>8</v>
      </c>
      <c r="B527" s="2">
        <v>39722</v>
      </c>
      <c r="C527">
        <v>8.99</v>
      </c>
      <c r="D527">
        <v>10.29</v>
      </c>
      <c r="E527">
        <v>10.43</v>
      </c>
      <c r="F527">
        <v>7.74</v>
      </c>
      <c r="G527" s="1" t="s">
        <v>185</v>
      </c>
      <c r="H527">
        <v>-0.1028</v>
      </c>
      <c r="I527" s="3">
        <f t="shared" si="8"/>
        <v>-0.18464961067853172</v>
      </c>
    </row>
    <row r="528" spans="1:9" x14ac:dyDescent="0.35">
      <c r="A528" s="1" t="s">
        <v>8</v>
      </c>
      <c r="B528" s="2">
        <v>39753</v>
      </c>
      <c r="C528">
        <v>7.33</v>
      </c>
      <c r="D528">
        <v>8.9499999999999993</v>
      </c>
      <c r="E528">
        <v>9.32</v>
      </c>
      <c r="F528">
        <v>6.19</v>
      </c>
      <c r="G528" s="1" t="s">
        <v>184</v>
      </c>
      <c r="H528">
        <v>-0.18459999999999999</v>
      </c>
      <c r="I528" s="3">
        <f t="shared" si="8"/>
        <v>5.0477489768076415E-2</v>
      </c>
    </row>
    <row r="529" spans="1:9" x14ac:dyDescent="0.35">
      <c r="A529" s="1" t="s">
        <v>8</v>
      </c>
      <c r="B529" s="2">
        <v>39783</v>
      </c>
      <c r="C529">
        <v>7.7</v>
      </c>
      <c r="D529">
        <v>7.17</v>
      </c>
      <c r="E529">
        <v>8.25</v>
      </c>
      <c r="F529">
        <v>6.57</v>
      </c>
      <c r="G529" s="1" t="s">
        <v>183</v>
      </c>
      <c r="H529">
        <v>5.0500000000000003E-2</v>
      </c>
      <c r="I529" s="3">
        <f t="shared" si="8"/>
        <v>0.10000000000000006</v>
      </c>
    </row>
    <row r="530" spans="1:9" x14ac:dyDescent="0.35">
      <c r="A530" s="1" t="s">
        <v>8</v>
      </c>
      <c r="B530" s="2">
        <v>39814</v>
      </c>
      <c r="C530">
        <v>8.4700000000000006</v>
      </c>
      <c r="D530">
        <v>7.72</v>
      </c>
      <c r="E530">
        <v>8.82</v>
      </c>
      <c r="F530">
        <v>7.08</v>
      </c>
      <c r="G530" s="1" t="s">
        <v>182</v>
      </c>
      <c r="H530">
        <v>0.1</v>
      </c>
      <c r="I530" s="3">
        <f t="shared" si="8"/>
        <v>-1.1806375442738827E-3</v>
      </c>
    </row>
    <row r="531" spans="1:9" x14ac:dyDescent="0.35">
      <c r="A531" s="1" t="s">
        <v>8</v>
      </c>
      <c r="B531" s="2">
        <v>39845</v>
      </c>
      <c r="C531">
        <v>8.4600000000000009</v>
      </c>
      <c r="D531">
        <v>8.3699999999999992</v>
      </c>
      <c r="E531">
        <v>9.5299999999999994</v>
      </c>
      <c r="F531">
        <v>8.25</v>
      </c>
      <c r="G531" s="1" t="s">
        <v>181</v>
      </c>
      <c r="H531">
        <v>-1.1999999999999999E-3</v>
      </c>
      <c r="I531" s="3">
        <f t="shared" si="8"/>
        <v>2.9550827423167846E-2</v>
      </c>
    </row>
    <row r="532" spans="1:9" x14ac:dyDescent="0.35">
      <c r="A532" s="1" t="s">
        <v>8</v>
      </c>
      <c r="B532" s="2">
        <v>39873</v>
      </c>
      <c r="C532">
        <v>8.7100000000000009</v>
      </c>
      <c r="D532">
        <v>8.34</v>
      </c>
      <c r="E532">
        <v>8.99</v>
      </c>
      <c r="F532">
        <v>7.24</v>
      </c>
      <c r="G532" s="1" t="s">
        <v>180</v>
      </c>
      <c r="H532">
        <v>2.9600000000000001E-2</v>
      </c>
      <c r="I532" s="3">
        <f t="shared" si="8"/>
        <v>0.13777267508610783</v>
      </c>
    </row>
    <row r="533" spans="1:9" x14ac:dyDescent="0.35">
      <c r="A533" s="1" t="s">
        <v>8</v>
      </c>
      <c r="B533" s="2">
        <v>39904</v>
      </c>
      <c r="C533">
        <v>9.91</v>
      </c>
      <c r="D533">
        <v>8.6</v>
      </c>
      <c r="E533">
        <v>10.1</v>
      </c>
      <c r="F533">
        <v>8.52</v>
      </c>
      <c r="G533" s="1" t="s">
        <v>179</v>
      </c>
      <c r="H533">
        <v>0.13780000000000001</v>
      </c>
      <c r="I533" s="3">
        <f t="shared" si="8"/>
        <v>5.3481331987890957E-2</v>
      </c>
    </row>
    <row r="534" spans="1:9" x14ac:dyDescent="0.35">
      <c r="A534" s="1" t="s">
        <v>8</v>
      </c>
      <c r="B534" s="2">
        <v>39934</v>
      </c>
      <c r="C534">
        <v>10.44</v>
      </c>
      <c r="D534">
        <v>9.89</v>
      </c>
      <c r="E534">
        <v>10.44</v>
      </c>
      <c r="F534">
        <v>9.6300000000000008</v>
      </c>
      <c r="G534" s="1" t="s">
        <v>178</v>
      </c>
      <c r="H534">
        <v>5.3499999999999999E-2</v>
      </c>
      <c r="I534" s="3">
        <f t="shared" si="8"/>
        <v>1.0536398467433067E-2</v>
      </c>
    </row>
    <row r="535" spans="1:9" x14ac:dyDescent="0.35">
      <c r="A535" s="1" t="s">
        <v>8</v>
      </c>
      <c r="B535" s="2">
        <v>39965</v>
      </c>
      <c r="C535">
        <v>10.55</v>
      </c>
      <c r="D535">
        <v>10.48</v>
      </c>
      <c r="E535">
        <v>11.19</v>
      </c>
      <c r="F535">
        <v>10.06</v>
      </c>
      <c r="G535" s="1" t="s">
        <v>165</v>
      </c>
      <c r="H535">
        <v>1.0500000000000001E-2</v>
      </c>
      <c r="I535" s="3">
        <f t="shared" si="8"/>
        <v>5.1184834123222667E-2</v>
      </c>
    </row>
    <row r="536" spans="1:9" x14ac:dyDescent="0.35">
      <c r="A536" s="1" t="s">
        <v>8</v>
      </c>
      <c r="B536" s="2">
        <v>39995</v>
      </c>
      <c r="C536">
        <v>11.09</v>
      </c>
      <c r="D536">
        <v>10.62</v>
      </c>
      <c r="E536">
        <v>11.33</v>
      </c>
      <c r="F536">
        <v>9.91</v>
      </c>
      <c r="G536" s="1" t="s">
        <v>171</v>
      </c>
      <c r="H536">
        <v>5.1200000000000002E-2</v>
      </c>
      <c r="I536" s="3">
        <f t="shared" si="8"/>
        <v>4.1478809738503236E-2</v>
      </c>
    </row>
    <row r="537" spans="1:9" x14ac:dyDescent="0.35">
      <c r="A537" s="1" t="s">
        <v>8</v>
      </c>
      <c r="B537" s="2">
        <v>40026</v>
      </c>
      <c r="C537">
        <v>11.55</v>
      </c>
      <c r="D537">
        <v>11.23</v>
      </c>
      <c r="E537">
        <v>11.87</v>
      </c>
      <c r="F537">
        <v>10.97</v>
      </c>
      <c r="G537" s="1" t="s">
        <v>177</v>
      </c>
      <c r="H537">
        <v>4.1500000000000002E-2</v>
      </c>
      <c r="I537" s="3">
        <f t="shared" si="8"/>
        <v>7.4458874458874405E-2</v>
      </c>
    </row>
    <row r="538" spans="1:9" x14ac:dyDescent="0.35">
      <c r="A538" s="1" t="s">
        <v>8</v>
      </c>
      <c r="B538" s="2">
        <v>40057</v>
      </c>
      <c r="C538">
        <v>12.41</v>
      </c>
      <c r="D538">
        <v>11.5</v>
      </c>
      <c r="E538">
        <v>12.69</v>
      </c>
      <c r="F538">
        <v>11.33</v>
      </c>
      <c r="G538" s="1" t="s">
        <v>176</v>
      </c>
      <c r="H538">
        <v>7.4499999999999997E-2</v>
      </c>
      <c r="I538" s="3">
        <f t="shared" si="8"/>
        <v>8.1385979049153886E-2</v>
      </c>
    </row>
    <row r="539" spans="1:9" x14ac:dyDescent="0.35">
      <c r="A539" s="1" t="s">
        <v>8</v>
      </c>
      <c r="B539" s="2">
        <v>40087</v>
      </c>
      <c r="C539">
        <v>13.42</v>
      </c>
      <c r="D539">
        <v>12.34</v>
      </c>
      <c r="E539">
        <v>14.05</v>
      </c>
      <c r="F539">
        <v>12.08</v>
      </c>
      <c r="G539" s="1" t="s">
        <v>161</v>
      </c>
      <c r="H539">
        <v>8.14E-2</v>
      </c>
      <c r="I539" s="3">
        <f t="shared" si="8"/>
        <v>8.7183308494783895E-2</v>
      </c>
    </row>
    <row r="540" spans="1:9" x14ac:dyDescent="0.35">
      <c r="A540" s="1" t="s">
        <v>8</v>
      </c>
      <c r="B540" s="2">
        <v>40118</v>
      </c>
      <c r="C540">
        <v>14.59</v>
      </c>
      <c r="D540">
        <v>13.44</v>
      </c>
      <c r="E540">
        <v>14.69</v>
      </c>
      <c r="F540">
        <v>13.22</v>
      </c>
      <c r="G540" s="1" t="s">
        <v>175</v>
      </c>
      <c r="H540">
        <v>8.72E-2</v>
      </c>
      <c r="I540" s="3">
        <f t="shared" si="8"/>
        <v>6.3056888279643591E-2</v>
      </c>
    </row>
    <row r="541" spans="1:9" x14ac:dyDescent="0.35">
      <c r="A541" s="1" t="s">
        <v>8</v>
      </c>
      <c r="B541" s="2">
        <v>40148</v>
      </c>
      <c r="C541">
        <v>15.51</v>
      </c>
      <c r="D541">
        <v>14.72</v>
      </c>
      <c r="E541">
        <v>15.66</v>
      </c>
      <c r="F541">
        <v>14.49</v>
      </c>
      <c r="G541" s="1" t="s">
        <v>174</v>
      </c>
      <c r="H541">
        <v>6.3100000000000003E-2</v>
      </c>
      <c r="I541" s="3">
        <f t="shared" si="8"/>
        <v>-0.14506769825918761</v>
      </c>
    </row>
    <row r="542" spans="1:9" x14ac:dyDescent="0.35">
      <c r="A542" s="1" t="s">
        <v>8</v>
      </c>
      <c r="B542" s="2">
        <v>40179</v>
      </c>
      <c r="C542">
        <v>13.26</v>
      </c>
      <c r="D542">
        <v>15.69</v>
      </c>
      <c r="E542">
        <v>15.75</v>
      </c>
      <c r="F542">
        <v>13.15</v>
      </c>
      <c r="G542" s="1" t="s">
        <v>173</v>
      </c>
      <c r="H542">
        <v>-0.14510000000000001</v>
      </c>
      <c r="I542" s="3">
        <f t="shared" si="8"/>
        <v>-6.0331825037707445E-3</v>
      </c>
    </row>
    <row r="543" spans="1:9" x14ac:dyDescent="0.35">
      <c r="A543" s="1" t="s">
        <v>8</v>
      </c>
      <c r="B543" s="2">
        <v>40210</v>
      </c>
      <c r="C543">
        <v>13.18</v>
      </c>
      <c r="D543">
        <v>13.38</v>
      </c>
      <c r="E543">
        <v>13.7</v>
      </c>
      <c r="F543">
        <v>13.01</v>
      </c>
      <c r="G543" s="1" t="s">
        <v>90</v>
      </c>
      <c r="H543">
        <v>-6.0000000000000001E-3</v>
      </c>
      <c r="I543" s="3">
        <f t="shared" si="8"/>
        <v>7.6631259484066752E-2</v>
      </c>
    </row>
    <row r="544" spans="1:9" x14ac:dyDescent="0.35">
      <c r="A544" s="1" t="s">
        <v>8</v>
      </c>
      <c r="B544" s="2">
        <v>40238</v>
      </c>
      <c r="C544">
        <v>14.19</v>
      </c>
      <c r="D544">
        <v>13.24</v>
      </c>
      <c r="E544">
        <v>14.72</v>
      </c>
      <c r="F544">
        <v>13.21</v>
      </c>
      <c r="G544" s="1" t="s">
        <v>172</v>
      </c>
      <c r="H544">
        <v>7.6600000000000001E-2</v>
      </c>
      <c r="I544" s="3">
        <f t="shared" si="8"/>
        <v>-7.2586328400281841E-2</v>
      </c>
    </row>
    <row r="545" spans="1:9" x14ac:dyDescent="0.35">
      <c r="A545" s="1" t="s">
        <v>8</v>
      </c>
      <c r="B545" s="2">
        <v>40269</v>
      </c>
      <c r="C545">
        <v>13.16</v>
      </c>
      <c r="D545">
        <v>14.3</v>
      </c>
      <c r="E545">
        <v>14.96</v>
      </c>
      <c r="F545">
        <v>13.04</v>
      </c>
      <c r="G545" s="1" t="s">
        <v>171</v>
      </c>
      <c r="H545">
        <v>-7.2599999999999998E-2</v>
      </c>
      <c r="I545" s="3">
        <f t="shared" si="8"/>
        <v>-7.6747720364741631E-2</v>
      </c>
    </row>
    <row r="546" spans="1:9" x14ac:dyDescent="0.35">
      <c r="A546" s="1" t="s">
        <v>8</v>
      </c>
      <c r="B546" s="2">
        <v>40299</v>
      </c>
      <c r="C546">
        <v>12.15</v>
      </c>
      <c r="D546">
        <v>13.18</v>
      </c>
      <c r="E546">
        <v>13.34</v>
      </c>
      <c r="F546">
        <v>11.51</v>
      </c>
      <c r="G546" s="1" t="s">
        <v>170</v>
      </c>
      <c r="H546">
        <v>-7.6700000000000004E-2</v>
      </c>
      <c r="I546" s="3">
        <f t="shared" si="8"/>
        <v>-8.3950617283950577E-2</v>
      </c>
    </row>
    <row r="547" spans="1:9" x14ac:dyDescent="0.35">
      <c r="A547" s="1" t="s">
        <v>8</v>
      </c>
      <c r="B547" s="2">
        <v>40330</v>
      </c>
      <c r="C547">
        <v>11.13</v>
      </c>
      <c r="D547">
        <v>12.02</v>
      </c>
      <c r="E547">
        <v>12.74</v>
      </c>
      <c r="F547">
        <v>11.13</v>
      </c>
      <c r="G547" s="1" t="s">
        <v>151</v>
      </c>
      <c r="H547">
        <v>-8.4000000000000005E-2</v>
      </c>
      <c r="I547" s="3">
        <f t="shared" si="8"/>
        <v>8.9847259658580411E-2</v>
      </c>
    </row>
    <row r="548" spans="1:9" x14ac:dyDescent="0.35">
      <c r="A548" s="1" t="s">
        <v>8</v>
      </c>
      <c r="B548" s="2">
        <v>40360</v>
      </c>
      <c r="C548">
        <v>12.13</v>
      </c>
      <c r="D548">
        <v>11.14</v>
      </c>
      <c r="E548">
        <v>12.45</v>
      </c>
      <c r="F548">
        <v>10.85</v>
      </c>
      <c r="G548" s="1" t="s">
        <v>169</v>
      </c>
      <c r="H548">
        <v>8.9800000000000005E-2</v>
      </c>
      <c r="I548" s="3">
        <f t="shared" si="8"/>
        <v>-7.1723000824402389E-2</v>
      </c>
    </row>
    <row r="549" spans="1:9" x14ac:dyDescent="0.35">
      <c r="A549" s="1" t="s">
        <v>8</v>
      </c>
      <c r="B549" s="2">
        <v>40391</v>
      </c>
      <c r="C549">
        <v>11.26</v>
      </c>
      <c r="D549">
        <v>12.24</v>
      </c>
      <c r="E549">
        <v>12.73</v>
      </c>
      <c r="F549">
        <v>11.2</v>
      </c>
      <c r="G549" s="1" t="s">
        <v>127</v>
      </c>
      <c r="H549">
        <v>-7.17E-2</v>
      </c>
      <c r="I549" s="3">
        <f t="shared" si="8"/>
        <v>0.16873889875666079</v>
      </c>
    </row>
    <row r="550" spans="1:9" x14ac:dyDescent="0.35">
      <c r="A550" s="1" t="s">
        <v>8</v>
      </c>
      <c r="B550" s="2">
        <v>40422</v>
      </c>
      <c r="C550">
        <v>13.16</v>
      </c>
      <c r="D550">
        <v>11.39</v>
      </c>
      <c r="E550">
        <v>13.43</v>
      </c>
      <c r="F550">
        <v>11.32</v>
      </c>
      <c r="G550" s="1" t="s">
        <v>151</v>
      </c>
      <c r="H550">
        <v>0.16869999999999999</v>
      </c>
      <c r="I550" s="3">
        <f t="shared" si="8"/>
        <v>0.1671732522796352</v>
      </c>
    </row>
    <row r="551" spans="1:9" x14ac:dyDescent="0.35">
      <c r="A551" s="1" t="s">
        <v>8</v>
      </c>
      <c r="B551" s="2">
        <v>40452</v>
      </c>
      <c r="C551">
        <v>15.36</v>
      </c>
      <c r="D551">
        <v>13.26</v>
      </c>
      <c r="E551">
        <v>15.63</v>
      </c>
      <c r="F551">
        <v>12.98</v>
      </c>
      <c r="G551" s="1" t="s">
        <v>168</v>
      </c>
      <c r="H551">
        <v>0.16719999999999999</v>
      </c>
      <c r="I551" s="3">
        <f t="shared" si="8"/>
        <v>-9.440104166666663E-2</v>
      </c>
    </row>
    <row r="552" spans="1:9" x14ac:dyDescent="0.35">
      <c r="A552" s="1" t="s">
        <v>8</v>
      </c>
      <c r="B552" s="2">
        <v>40483</v>
      </c>
      <c r="C552">
        <v>13.91</v>
      </c>
      <c r="D552">
        <v>15.41</v>
      </c>
      <c r="E552">
        <v>15.79</v>
      </c>
      <c r="F552">
        <v>13.85</v>
      </c>
      <c r="G552" s="1" t="s">
        <v>154</v>
      </c>
      <c r="H552">
        <v>-9.4399999999999998E-2</v>
      </c>
      <c r="I552" s="3">
        <f t="shared" si="8"/>
        <v>6.8296189791516845E-2</v>
      </c>
    </row>
    <row r="553" spans="1:9" x14ac:dyDescent="0.35">
      <c r="A553" s="1" t="s">
        <v>8</v>
      </c>
      <c r="B553" s="2">
        <v>40513</v>
      </c>
      <c r="C553">
        <v>14.86</v>
      </c>
      <c r="D553">
        <v>14.09</v>
      </c>
      <c r="E553">
        <v>15.19</v>
      </c>
      <c r="F553">
        <v>14.07</v>
      </c>
      <c r="G553" s="1" t="s">
        <v>167</v>
      </c>
      <c r="H553">
        <v>6.83E-2</v>
      </c>
      <c r="I553" s="3">
        <f t="shared" si="8"/>
        <v>1.0767160161507413E-2</v>
      </c>
    </row>
    <row r="554" spans="1:9" x14ac:dyDescent="0.35">
      <c r="A554" s="1" t="s">
        <v>8</v>
      </c>
      <c r="B554" s="2">
        <v>40544</v>
      </c>
      <c r="C554">
        <v>15.02</v>
      </c>
      <c r="D554">
        <v>14.93</v>
      </c>
      <c r="E554">
        <v>16.09</v>
      </c>
      <c r="F554">
        <v>14.9</v>
      </c>
      <c r="G554" s="1" t="s">
        <v>151</v>
      </c>
      <c r="H554">
        <v>1.0800000000000001E-2</v>
      </c>
      <c r="I554" s="3">
        <f t="shared" si="8"/>
        <v>2.1970705725699074E-2</v>
      </c>
    </row>
    <row r="555" spans="1:9" x14ac:dyDescent="0.35">
      <c r="A555" s="1" t="s">
        <v>8</v>
      </c>
      <c r="B555" s="2">
        <v>40575</v>
      </c>
      <c r="C555">
        <v>15.35</v>
      </c>
      <c r="D555">
        <v>15.13</v>
      </c>
      <c r="E555">
        <v>15.79</v>
      </c>
      <c r="F555">
        <v>15.05</v>
      </c>
      <c r="G555" s="1" t="s">
        <v>166</v>
      </c>
      <c r="H555">
        <v>2.1999999999999999E-2</v>
      </c>
      <c r="I555" s="3">
        <f t="shared" si="8"/>
        <v>-4.3648208469055372E-2</v>
      </c>
    </row>
    <row r="556" spans="1:9" x14ac:dyDescent="0.35">
      <c r="A556" s="1" t="s">
        <v>8</v>
      </c>
      <c r="B556" s="2">
        <v>40603</v>
      </c>
      <c r="C556">
        <v>14.68</v>
      </c>
      <c r="D556">
        <v>15.46</v>
      </c>
      <c r="E556">
        <v>15.5</v>
      </c>
      <c r="F556">
        <v>13.8</v>
      </c>
      <c r="G556" s="1" t="s">
        <v>151</v>
      </c>
      <c r="H556">
        <v>-4.36E-2</v>
      </c>
      <c r="I556" s="3">
        <f t="shared" si="8"/>
        <v>-7.2207084468664889E-2</v>
      </c>
    </row>
    <row r="557" spans="1:9" x14ac:dyDescent="0.35">
      <c r="A557" s="1" t="s">
        <v>8</v>
      </c>
      <c r="B557" s="2">
        <v>40634</v>
      </c>
      <c r="C557">
        <v>13.62</v>
      </c>
      <c r="D557">
        <v>14.73</v>
      </c>
      <c r="E557">
        <v>14.89</v>
      </c>
      <c r="F557">
        <v>12.99</v>
      </c>
      <c r="G557" s="1" t="s">
        <v>165</v>
      </c>
      <c r="H557">
        <v>-7.22E-2</v>
      </c>
      <c r="I557" s="3">
        <f t="shared" si="8"/>
        <v>-2.7900146842878049E-2</v>
      </c>
    </row>
    <row r="558" spans="1:9" x14ac:dyDescent="0.35">
      <c r="A558" s="1" t="s">
        <v>8</v>
      </c>
      <c r="B558" s="2">
        <v>40664</v>
      </c>
      <c r="C558">
        <v>13.24</v>
      </c>
      <c r="D558">
        <v>13.66</v>
      </c>
      <c r="E558">
        <v>13.66</v>
      </c>
      <c r="F558">
        <v>12.85</v>
      </c>
      <c r="G558" s="1" t="s">
        <v>164</v>
      </c>
      <c r="H558">
        <v>-2.7900000000000001E-2</v>
      </c>
      <c r="I558" s="3">
        <f t="shared" si="8"/>
        <v>-4.3051359516616337E-2</v>
      </c>
    </row>
    <row r="559" spans="1:9" x14ac:dyDescent="0.35">
      <c r="A559" s="1" t="s">
        <v>8</v>
      </c>
      <c r="B559" s="2">
        <v>40695</v>
      </c>
      <c r="C559">
        <v>12.67</v>
      </c>
      <c r="D559">
        <v>13.21</v>
      </c>
      <c r="E559">
        <v>13.34</v>
      </c>
      <c r="F559">
        <v>11.84</v>
      </c>
      <c r="G559" s="1" t="s">
        <v>155</v>
      </c>
      <c r="H559">
        <v>-4.3099999999999999E-2</v>
      </c>
      <c r="I559" s="3">
        <f t="shared" si="8"/>
        <v>0.19258089976322015</v>
      </c>
    </row>
    <row r="560" spans="1:9" x14ac:dyDescent="0.35">
      <c r="A560" s="1" t="s">
        <v>8</v>
      </c>
      <c r="B560" s="2">
        <v>40725</v>
      </c>
      <c r="C560">
        <v>15.11</v>
      </c>
      <c r="D560">
        <v>12.68</v>
      </c>
      <c r="E560">
        <v>15.7</v>
      </c>
      <c r="F560">
        <v>12.67</v>
      </c>
      <c r="G560" s="1" t="s">
        <v>163</v>
      </c>
      <c r="H560">
        <v>0.19259999999999999</v>
      </c>
      <c r="I560" s="3">
        <f t="shared" si="8"/>
        <v>-0.1039046988749173</v>
      </c>
    </row>
    <row r="561" spans="1:9" x14ac:dyDescent="0.35">
      <c r="A561" s="1" t="s">
        <v>8</v>
      </c>
      <c r="B561" s="2">
        <v>40756</v>
      </c>
      <c r="C561">
        <v>13.54</v>
      </c>
      <c r="D561">
        <v>15.3</v>
      </c>
      <c r="E561">
        <v>15.4</v>
      </c>
      <c r="F561">
        <v>12.28</v>
      </c>
      <c r="G561" s="1" t="s">
        <v>162</v>
      </c>
      <c r="H561">
        <v>-0.10390000000000001</v>
      </c>
      <c r="I561" s="3">
        <f t="shared" si="8"/>
        <v>-4.800590841949768E-2</v>
      </c>
    </row>
    <row r="562" spans="1:9" x14ac:dyDescent="0.35">
      <c r="A562" s="1" t="s">
        <v>8</v>
      </c>
      <c r="B562" s="2">
        <v>40787</v>
      </c>
      <c r="C562">
        <v>12.89</v>
      </c>
      <c r="D562">
        <v>13.53</v>
      </c>
      <c r="E562">
        <v>13.98</v>
      </c>
      <c r="F562">
        <v>12.77</v>
      </c>
      <c r="G562" s="1" t="s">
        <v>154</v>
      </c>
      <c r="H562">
        <v>-4.8000000000000001E-2</v>
      </c>
      <c r="I562" s="3">
        <f t="shared" si="8"/>
        <v>0.15050426687354534</v>
      </c>
    </row>
    <row r="563" spans="1:9" x14ac:dyDescent="0.35">
      <c r="A563" s="1" t="s">
        <v>8</v>
      </c>
      <c r="B563" s="2">
        <v>40817</v>
      </c>
      <c r="C563">
        <v>14.83</v>
      </c>
      <c r="D563">
        <v>12.76</v>
      </c>
      <c r="E563">
        <v>15.08</v>
      </c>
      <c r="F563">
        <v>12.03</v>
      </c>
      <c r="G563" s="1" t="s">
        <v>161</v>
      </c>
      <c r="H563">
        <v>0.15049999999999999</v>
      </c>
      <c r="I563" s="3">
        <f t="shared" si="8"/>
        <v>1.1463250168577204E-2</v>
      </c>
    </row>
    <row r="564" spans="1:9" x14ac:dyDescent="0.35">
      <c r="A564" s="1" t="s">
        <v>8</v>
      </c>
      <c r="B564" s="2">
        <v>40848</v>
      </c>
      <c r="C564">
        <v>15</v>
      </c>
      <c r="D564">
        <v>14.52</v>
      </c>
      <c r="E564">
        <v>15.47</v>
      </c>
      <c r="F564">
        <v>14.05</v>
      </c>
      <c r="G564" s="1" t="s">
        <v>160</v>
      </c>
      <c r="H564">
        <v>1.15E-2</v>
      </c>
      <c r="I564" s="3">
        <f t="shared" si="8"/>
        <v>7.7333333333333337E-2</v>
      </c>
    </row>
    <row r="565" spans="1:9" x14ac:dyDescent="0.35">
      <c r="A565" s="1" t="s">
        <v>8</v>
      </c>
      <c r="B565" s="2">
        <v>40878</v>
      </c>
      <c r="C565">
        <v>16.16</v>
      </c>
      <c r="D565">
        <v>15.01</v>
      </c>
      <c r="E565">
        <v>16.18</v>
      </c>
      <c r="F565">
        <v>14.99</v>
      </c>
      <c r="G565" s="1" t="s">
        <v>159</v>
      </c>
      <c r="H565">
        <v>7.7299999999999994E-2</v>
      </c>
      <c r="I565" s="3">
        <f t="shared" si="8"/>
        <v>-0.10148514851485152</v>
      </c>
    </row>
    <row r="566" spans="1:9" x14ac:dyDescent="0.35">
      <c r="A566" s="1" t="s">
        <v>8</v>
      </c>
      <c r="B566" s="2">
        <v>40909</v>
      </c>
      <c r="C566">
        <v>14.52</v>
      </c>
      <c r="D566">
        <v>16.34</v>
      </c>
      <c r="E566">
        <v>16.77</v>
      </c>
      <c r="F566">
        <v>14.13</v>
      </c>
      <c r="G566" s="1" t="s">
        <v>158</v>
      </c>
      <c r="H566">
        <v>-0.10150000000000001</v>
      </c>
      <c r="I566" s="3">
        <f t="shared" si="8"/>
        <v>6.5426997245179142E-2</v>
      </c>
    </row>
    <row r="567" spans="1:9" x14ac:dyDescent="0.35">
      <c r="A567" s="1" t="s">
        <v>8</v>
      </c>
      <c r="B567" s="2">
        <v>40940</v>
      </c>
      <c r="C567">
        <v>15.47</v>
      </c>
      <c r="D567">
        <v>14.64</v>
      </c>
      <c r="E567">
        <v>15.66</v>
      </c>
      <c r="F567">
        <v>14.49</v>
      </c>
      <c r="G567" s="1" t="s">
        <v>157</v>
      </c>
      <c r="H567">
        <v>6.54E-2</v>
      </c>
      <c r="I567" s="3">
        <f t="shared" si="8"/>
        <v>3.7491919844861027E-2</v>
      </c>
    </row>
    <row r="568" spans="1:9" x14ac:dyDescent="0.35">
      <c r="A568" s="1" t="s">
        <v>8</v>
      </c>
      <c r="B568" s="2">
        <v>40969</v>
      </c>
      <c r="C568">
        <v>16.05</v>
      </c>
      <c r="D568">
        <v>15.57</v>
      </c>
      <c r="E568">
        <v>16.48</v>
      </c>
      <c r="F568">
        <v>14.86</v>
      </c>
      <c r="G568" s="1" t="s">
        <v>156</v>
      </c>
      <c r="H568">
        <v>3.7499999999999999E-2</v>
      </c>
      <c r="I568" s="3">
        <f t="shared" si="8"/>
        <v>-5.6697819314641754E-2</v>
      </c>
    </row>
    <row r="569" spans="1:9" x14ac:dyDescent="0.35">
      <c r="A569" s="1" t="s">
        <v>8</v>
      </c>
      <c r="B569" s="2">
        <v>41000</v>
      </c>
      <c r="C569">
        <v>15.14</v>
      </c>
      <c r="D569">
        <v>16.03</v>
      </c>
      <c r="E569">
        <v>16.34</v>
      </c>
      <c r="F569">
        <v>14.77</v>
      </c>
      <c r="G569" s="1" t="s">
        <v>155</v>
      </c>
      <c r="H569">
        <v>-5.67E-2</v>
      </c>
      <c r="I569" s="3">
        <f t="shared" si="8"/>
        <v>-3.9630118890356766E-2</v>
      </c>
    </row>
    <row r="570" spans="1:9" x14ac:dyDescent="0.35">
      <c r="A570" s="1" t="s">
        <v>8</v>
      </c>
      <c r="B570" s="2">
        <v>41030</v>
      </c>
      <c r="C570">
        <v>14.54</v>
      </c>
      <c r="D570">
        <v>15.11</v>
      </c>
      <c r="E570">
        <v>15.96</v>
      </c>
      <c r="F570">
        <v>14.49</v>
      </c>
      <c r="G570" s="1" t="s">
        <v>154</v>
      </c>
      <c r="H570">
        <v>-3.9600000000000003E-2</v>
      </c>
      <c r="I570" s="3">
        <f t="shared" si="8"/>
        <v>-1.3755158184318827E-3</v>
      </c>
    </row>
    <row r="571" spans="1:9" x14ac:dyDescent="0.35">
      <c r="A571" s="1" t="s">
        <v>8</v>
      </c>
      <c r="B571" s="2">
        <v>41061</v>
      </c>
      <c r="C571">
        <v>14.52</v>
      </c>
      <c r="D571">
        <v>14.31</v>
      </c>
      <c r="E571">
        <v>14.71</v>
      </c>
      <c r="F571">
        <v>13.93</v>
      </c>
      <c r="G571" s="1" t="s">
        <v>153</v>
      </c>
      <c r="H571">
        <v>-1.6999999999999999E-3</v>
      </c>
      <c r="I571" s="3">
        <f t="shared" si="8"/>
        <v>9.0909090909090925E-2</v>
      </c>
    </row>
    <row r="572" spans="1:9" x14ac:dyDescent="0.35">
      <c r="A572" s="1" t="s">
        <v>8</v>
      </c>
      <c r="B572" s="2">
        <v>41091</v>
      </c>
      <c r="C572">
        <v>15.84</v>
      </c>
      <c r="D572">
        <v>14.56</v>
      </c>
      <c r="E572">
        <v>16.079999999999998</v>
      </c>
      <c r="F572">
        <v>14.07</v>
      </c>
      <c r="G572" s="1" t="s">
        <v>91</v>
      </c>
      <c r="H572">
        <v>9.1200000000000003E-2</v>
      </c>
      <c r="I572" s="3">
        <f t="shared" si="8"/>
        <v>8.2070707070707113E-2</v>
      </c>
    </row>
    <row r="573" spans="1:9" x14ac:dyDescent="0.35">
      <c r="A573" s="1" t="s">
        <v>8</v>
      </c>
      <c r="B573" s="2">
        <v>41122</v>
      </c>
      <c r="C573">
        <v>17.14</v>
      </c>
      <c r="D573">
        <v>15.95</v>
      </c>
      <c r="E573">
        <v>17.239999999999998</v>
      </c>
      <c r="F573">
        <v>15.6</v>
      </c>
      <c r="G573" s="1" t="s">
        <v>152</v>
      </c>
      <c r="H573">
        <v>8.2299999999999998E-2</v>
      </c>
      <c r="I573" s="3">
        <f t="shared" si="8"/>
        <v>0.10151691948658101</v>
      </c>
    </row>
    <row r="574" spans="1:9" x14ac:dyDescent="0.35">
      <c r="A574" s="1" t="s">
        <v>8</v>
      </c>
      <c r="B574" s="2">
        <v>41153</v>
      </c>
      <c r="C574">
        <v>18.88</v>
      </c>
      <c r="D574">
        <v>17.13</v>
      </c>
      <c r="E574">
        <v>19.14</v>
      </c>
      <c r="F574">
        <v>16.850000000000001</v>
      </c>
      <c r="G574" s="1" t="s">
        <v>151</v>
      </c>
      <c r="H574">
        <v>0.1013</v>
      </c>
      <c r="I574" s="3">
        <f t="shared" si="8"/>
        <v>-9.8516949152542346E-2</v>
      </c>
    </row>
    <row r="575" spans="1:9" x14ac:dyDescent="0.35">
      <c r="A575" s="1" t="s">
        <v>8</v>
      </c>
      <c r="B575" s="2">
        <v>41183</v>
      </c>
      <c r="C575">
        <v>17.02</v>
      </c>
      <c r="D575">
        <v>18.989999999999998</v>
      </c>
      <c r="E575">
        <v>19.38</v>
      </c>
      <c r="F575">
        <v>16.760000000000002</v>
      </c>
      <c r="G575" s="1" t="s">
        <v>150</v>
      </c>
      <c r="H575">
        <v>-9.8299999999999998E-2</v>
      </c>
      <c r="I575" s="3">
        <f t="shared" si="8"/>
        <v>2.7027027027027077E-2</v>
      </c>
    </row>
    <row r="576" spans="1:9" x14ac:dyDescent="0.35">
      <c r="A576" s="1" t="s">
        <v>8</v>
      </c>
      <c r="B576" s="2">
        <v>41214</v>
      </c>
      <c r="C576">
        <v>17.48</v>
      </c>
      <c r="D576">
        <v>17</v>
      </c>
      <c r="E576">
        <v>17.5</v>
      </c>
      <c r="F576">
        <v>15.92</v>
      </c>
      <c r="G576" s="1" t="s">
        <v>149</v>
      </c>
      <c r="H576">
        <v>2.6599999999999999E-2</v>
      </c>
      <c r="I576" s="3">
        <f t="shared" si="8"/>
        <v>1.258581235697934E-2</v>
      </c>
    </row>
    <row r="577" spans="1:9" x14ac:dyDescent="0.35">
      <c r="A577" s="1" t="s">
        <v>8</v>
      </c>
      <c r="B577" s="2">
        <v>41244</v>
      </c>
      <c r="C577">
        <v>17.7</v>
      </c>
      <c r="D577">
        <v>17.57</v>
      </c>
      <c r="E577">
        <v>18.47</v>
      </c>
      <c r="F577">
        <v>17.07</v>
      </c>
      <c r="G577" s="1" t="s">
        <v>148</v>
      </c>
      <c r="H577">
        <v>1.29E-2</v>
      </c>
      <c r="I577" s="3">
        <f t="shared" si="8"/>
        <v>6.836158192090401E-2</v>
      </c>
    </row>
    <row r="578" spans="1:9" x14ac:dyDescent="0.35">
      <c r="A578" s="1" t="s">
        <v>8</v>
      </c>
      <c r="B578" s="2">
        <v>41275</v>
      </c>
      <c r="C578">
        <v>18.91</v>
      </c>
      <c r="D578">
        <v>18</v>
      </c>
      <c r="E578">
        <v>19.04</v>
      </c>
      <c r="F578">
        <v>17.399999999999999</v>
      </c>
      <c r="G578" s="1" t="s">
        <v>147</v>
      </c>
      <c r="H578">
        <v>6.83E-2</v>
      </c>
      <c r="I578" s="3">
        <f t="shared" ref="I578:I641" si="9">IF(A579=A578, (C579-C578)/C578, 0)</f>
        <v>6.0285563194077241E-2</v>
      </c>
    </row>
    <row r="579" spans="1:9" x14ac:dyDescent="0.35">
      <c r="A579" s="1" t="s">
        <v>8</v>
      </c>
      <c r="B579" s="2">
        <v>41306</v>
      </c>
      <c r="C579">
        <v>20.05</v>
      </c>
      <c r="D579">
        <v>18.97</v>
      </c>
      <c r="E579">
        <v>20.239999999999998</v>
      </c>
      <c r="F579">
        <v>18.97</v>
      </c>
      <c r="G579" s="1" t="s">
        <v>146</v>
      </c>
      <c r="H579">
        <v>6.0199999999999997E-2</v>
      </c>
      <c r="I579" s="3">
        <f t="shared" si="9"/>
        <v>-8.9775561097256706E-3</v>
      </c>
    </row>
    <row r="580" spans="1:9" x14ac:dyDescent="0.35">
      <c r="A580" s="1" t="s">
        <v>8</v>
      </c>
      <c r="B580" s="2">
        <v>41334</v>
      </c>
      <c r="C580">
        <v>19.87</v>
      </c>
      <c r="D580">
        <v>19.96</v>
      </c>
      <c r="E580">
        <v>21.12</v>
      </c>
      <c r="F580">
        <v>19.850000000000001</v>
      </c>
      <c r="G580" s="1" t="s">
        <v>145</v>
      </c>
      <c r="H580">
        <v>-8.8000000000000005E-3</v>
      </c>
      <c r="I580" s="3">
        <f t="shared" si="9"/>
        <v>3.824861600402607E-2</v>
      </c>
    </row>
    <row r="581" spans="1:9" x14ac:dyDescent="0.35">
      <c r="A581" s="1" t="s">
        <v>8</v>
      </c>
      <c r="B581" s="2">
        <v>41365</v>
      </c>
      <c r="C581">
        <v>20.63</v>
      </c>
      <c r="D581">
        <v>19.89</v>
      </c>
      <c r="E581">
        <v>20.71</v>
      </c>
      <c r="F581">
        <v>19.05</v>
      </c>
      <c r="G581" s="1" t="s">
        <v>144</v>
      </c>
      <c r="H581">
        <v>3.8300000000000001E-2</v>
      </c>
      <c r="I581" s="3">
        <f t="shared" si="9"/>
        <v>5.6713523994183314E-2</v>
      </c>
    </row>
    <row r="582" spans="1:9" x14ac:dyDescent="0.35">
      <c r="A582" s="1" t="s">
        <v>8</v>
      </c>
      <c r="B582" s="2">
        <v>41395</v>
      </c>
      <c r="C582">
        <v>21.8</v>
      </c>
      <c r="D582">
        <v>20.6</v>
      </c>
      <c r="E582">
        <v>23.04</v>
      </c>
      <c r="F582">
        <v>20.43</v>
      </c>
      <c r="G582" s="1" t="s">
        <v>143</v>
      </c>
      <c r="H582">
        <v>5.6599999999999998E-2</v>
      </c>
      <c r="I582" s="3">
        <f t="shared" si="9"/>
        <v>1.055045871559635E-2</v>
      </c>
    </row>
    <row r="583" spans="1:9" x14ac:dyDescent="0.35">
      <c r="A583" s="1" t="s">
        <v>8</v>
      </c>
      <c r="B583" s="2">
        <v>41426</v>
      </c>
      <c r="C583">
        <v>22.03</v>
      </c>
      <c r="D583">
        <v>21.85</v>
      </c>
      <c r="E583">
        <v>22.79</v>
      </c>
      <c r="F583">
        <v>21.2</v>
      </c>
      <c r="G583" s="1" t="s">
        <v>142</v>
      </c>
      <c r="H583">
        <v>1.0500000000000001E-2</v>
      </c>
      <c r="I583" s="3">
        <f t="shared" si="9"/>
        <v>8.6246028143439728E-3</v>
      </c>
    </row>
    <row r="584" spans="1:9" x14ac:dyDescent="0.35">
      <c r="A584" s="1" t="s">
        <v>8</v>
      </c>
      <c r="B584" s="2">
        <v>41456</v>
      </c>
      <c r="C584">
        <v>22.22</v>
      </c>
      <c r="D584">
        <v>22.18</v>
      </c>
      <c r="E584">
        <v>23.22</v>
      </c>
      <c r="F584">
        <v>21.91</v>
      </c>
      <c r="G584" s="1" t="s">
        <v>91</v>
      </c>
      <c r="H584">
        <v>8.3999999999999995E-3</v>
      </c>
      <c r="I584" s="3">
        <f t="shared" si="9"/>
        <v>-4.6354635463546248E-2</v>
      </c>
    </row>
    <row r="585" spans="1:9" x14ac:dyDescent="0.35">
      <c r="A585" s="1" t="s">
        <v>8</v>
      </c>
      <c r="B585" s="2">
        <v>41487</v>
      </c>
      <c r="C585">
        <v>21.19</v>
      </c>
      <c r="D585">
        <v>22.4</v>
      </c>
      <c r="E585">
        <v>22.76</v>
      </c>
      <c r="F585">
        <v>21.16</v>
      </c>
      <c r="G585" s="1" t="s">
        <v>141</v>
      </c>
      <c r="H585">
        <v>-4.5999999999999999E-2</v>
      </c>
      <c r="I585" s="3">
        <f t="shared" si="9"/>
        <v>3.4450212364322809E-2</v>
      </c>
    </row>
    <row r="586" spans="1:9" x14ac:dyDescent="0.35">
      <c r="A586" s="1" t="s">
        <v>8</v>
      </c>
      <c r="B586" s="2">
        <v>41518</v>
      </c>
      <c r="C586">
        <v>21.92</v>
      </c>
      <c r="D586">
        <v>21.38</v>
      </c>
      <c r="E586">
        <v>22.67</v>
      </c>
      <c r="F586">
        <v>21.37</v>
      </c>
      <c r="G586" s="1" t="s">
        <v>140</v>
      </c>
      <c r="H586">
        <v>3.4299999999999997E-2</v>
      </c>
      <c r="I586" s="3">
        <f t="shared" si="9"/>
        <v>0.17655109489051082</v>
      </c>
    </row>
    <row r="587" spans="1:9" x14ac:dyDescent="0.35">
      <c r="A587" s="1" t="s">
        <v>8</v>
      </c>
      <c r="B587" s="2">
        <v>41548</v>
      </c>
      <c r="C587">
        <v>25.79</v>
      </c>
      <c r="D587">
        <v>22.03</v>
      </c>
      <c r="E587">
        <v>26.06</v>
      </c>
      <c r="F587">
        <v>21.09</v>
      </c>
      <c r="G587" s="1" t="s">
        <v>120</v>
      </c>
      <c r="H587">
        <v>0.17660000000000001</v>
      </c>
      <c r="I587" s="3">
        <f t="shared" si="9"/>
        <v>2.8305544784800327E-2</v>
      </c>
    </row>
    <row r="588" spans="1:9" x14ac:dyDescent="0.35">
      <c r="A588" s="1" t="s">
        <v>8</v>
      </c>
      <c r="B588" s="2">
        <v>41579</v>
      </c>
      <c r="C588">
        <v>26.52</v>
      </c>
      <c r="D588">
        <v>25.82</v>
      </c>
      <c r="E588">
        <v>26.73</v>
      </c>
      <c r="F588">
        <v>25.15</v>
      </c>
      <c r="G588" s="1" t="s">
        <v>139</v>
      </c>
      <c r="H588">
        <v>2.81E-2</v>
      </c>
      <c r="I588" s="3">
        <f t="shared" si="9"/>
        <v>5.7315233785822005E-2</v>
      </c>
    </row>
    <row r="589" spans="1:9" x14ac:dyDescent="0.35">
      <c r="A589" s="1" t="s">
        <v>8</v>
      </c>
      <c r="B589" s="2">
        <v>41609</v>
      </c>
      <c r="C589">
        <v>28.04</v>
      </c>
      <c r="D589">
        <v>26.61</v>
      </c>
      <c r="E589">
        <v>28.05</v>
      </c>
      <c r="F589">
        <v>26.25</v>
      </c>
      <c r="G589" s="1" t="s">
        <v>138</v>
      </c>
      <c r="H589">
        <v>5.7700000000000001E-2</v>
      </c>
      <c r="I589" s="3">
        <f t="shared" si="9"/>
        <v>5.3851640513552124E-2</v>
      </c>
    </row>
    <row r="590" spans="1:9" x14ac:dyDescent="0.35">
      <c r="A590" s="1" t="s">
        <v>8</v>
      </c>
      <c r="B590" s="2">
        <v>41640</v>
      </c>
      <c r="C590">
        <v>29.55</v>
      </c>
      <c r="D590">
        <v>27.91</v>
      </c>
      <c r="E590">
        <v>29.69</v>
      </c>
      <c r="F590">
        <v>27.08</v>
      </c>
      <c r="G590" s="1" t="s">
        <v>128</v>
      </c>
      <c r="H590">
        <v>5.3800000000000001E-2</v>
      </c>
      <c r="I590" s="3">
        <f t="shared" si="9"/>
        <v>2.9441624365482266E-2</v>
      </c>
    </row>
    <row r="591" spans="1:9" x14ac:dyDescent="0.35">
      <c r="A591" s="1" t="s">
        <v>8</v>
      </c>
      <c r="B591" s="2">
        <v>41671</v>
      </c>
      <c r="C591">
        <v>30.42</v>
      </c>
      <c r="D591">
        <v>29.51</v>
      </c>
      <c r="E591">
        <v>30.75</v>
      </c>
      <c r="F591">
        <v>28.23</v>
      </c>
      <c r="G591" s="1" t="s">
        <v>137</v>
      </c>
      <c r="H591">
        <v>2.9399999999999999E-2</v>
      </c>
      <c r="I591" s="3">
        <f t="shared" si="9"/>
        <v>-8.3168967784352427E-2</v>
      </c>
    </row>
    <row r="592" spans="1:9" x14ac:dyDescent="0.35">
      <c r="A592" s="1" t="s">
        <v>8</v>
      </c>
      <c r="B592" s="2">
        <v>41699</v>
      </c>
      <c r="C592">
        <v>27.89</v>
      </c>
      <c r="D592">
        <v>30.2</v>
      </c>
      <c r="E592">
        <v>30.7</v>
      </c>
      <c r="F592">
        <v>27.58</v>
      </c>
      <c r="G592" s="1" t="s">
        <v>136</v>
      </c>
      <c r="H592">
        <v>-8.3199999999999996E-2</v>
      </c>
      <c r="I592" s="3">
        <f t="shared" si="9"/>
        <v>-4.1233416995338903E-2</v>
      </c>
    </row>
    <row r="593" spans="1:9" x14ac:dyDescent="0.35">
      <c r="A593" s="1" t="s">
        <v>8</v>
      </c>
      <c r="B593" s="2">
        <v>41730</v>
      </c>
      <c r="C593">
        <v>26.74</v>
      </c>
      <c r="D593">
        <v>28.03</v>
      </c>
      <c r="E593">
        <v>29.42</v>
      </c>
      <c r="F593">
        <v>25.55</v>
      </c>
      <c r="G593" s="1" t="s">
        <v>135</v>
      </c>
      <c r="H593">
        <v>-4.1099999999999998E-2</v>
      </c>
      <c r="I593" s="3">
        <f t="shared" si="9"/>
        <v>6.8810770381451003E-2</v>
      </c>
    </row>
    <row r="594" spans="1:9" x14ac:dyDescent="0.35">
      <c r="A594" s="1" t="s">
        <v>8</v>
      </c>
      <c r="B594" s="2">
        <v>41760</v>
      </c>
      <c r="C594">
        <v>28.58</v>
      </c>
      <c r="D594">
        <v>26.71</v>
      </c>
      <c r="E594">
        <v>28.88</v>
      </c>
      <c r="F594">
        <v>25.55</v>
      </c>
      <c r="G594" s="1" t="s">
        <v>134</v>
      </c>
      <c r="H594">
        <v>6.8699999999999997E-2</v>
      </c>
      <c r="I594" s="3">
        <f t="shared" si="9"/>
        <v>2.2743177046886009E-2</v>
      </c>
    </row>
    <row r="595" spans="1:9" x14ac:dyDescent="0.35">
      <c r="A595" s="1" t="s">
        <v>8</v>
      </c>
      <c r="B595" s="2">
        <v>41791</v>
      </c>
      <c r="C595">
        <v>29.23</v>
      </c>
      <c r="D595">
        <v>28.49</v>
      </c>
      <c r="E595">
        <v>29.48</v>
      </c>
      <c r="F595">
        <v>27.37</v>
      </c>
      <c r="G595" s="1" t="s">
        <v>133</v>
      </c>
      <c r="H595">
        <v>2.2800000000000001E-2</v>
      </c>
      <c r="I595" s="3">
        <f t="shared" si="9"/>
        <v>-8.552856654122476E-3</v>
      </c>
    </row>
    <row r="596" spans="1:9" x14ac:dyDescent="0.35">
      <c r="A596" s="1" t="s">
        <v>8</v>
      </c>
      <c r="B596" s="2">
        <v>41821</v>
      </c>
      <c r="C596">
        <v>28.98</v>
      </c>
      <c r="D596">
        <v>29.38</v>
      </c>
      <c r="E596">
        <v>30.45</v>
      </c>
      <c r="F596">
        <v>28.61</v>
      </c>
      <c r="G596" s="1" t="s">
        <v>132</v>
      </c>
      <c r="H596">
        <v>-8.8000000000000005E-3</v>
      </c>
      <c r="I596" s="3">
        <f t="shared" si="9"/>
        <v>4.830917874396155E-3</v>
      </c>
    </row>
    <row r="597" spans="1:9" x14ac:dyDescent="0.35">
      <c r="A597" s="1" t="s">
        <v>8</v>
      </c>
      <c r="B597" s="2">
        <v>41852</v>
      </c>
      <c r="C597">
        <v>29.12</v>
      </c>
      <c r="D597">
        <v>28.93</v>
      </c>
      <c r="E597">
        <v>29.89</v>
      </c>
      <c r="F597">
        <v>28.37</v>
      </c>
      <c r="G597" s="1" t="s">
        <v>131</v>
      </c>
      <c r="H597">
        <v>4.7999999999999996E-3</v>
      </c>
      <c r="I597" s="3">
        <f t="shared" si="9"/>
        <v>1.0302197802197826E-2</v>
      </c>
    </row>
    <row r="598" spans="1:9" x14ac:dyDescent="0.35">
      <c r="A598" s="1" t="s">
        <v>8</v>
      </c>
      <c r="B598" s="2">
        <v>41883</v>
      </c>
      <c r="C598">
        <v>29.42</v>
      </c>
      <c r="D598">
        <v>29.15</v>
      </c>
      <c r="E598">
        <v>30.27</v>
      </c>
      <c r="F598">
        <v>28.85</v>
      </c>
      <c r="G598" s="1" t="s">
        <v>130</v>
      </c>
      <c r="H598">
        <v>1.04E-2</v>
      </c>
      <c r="I598" s="3">
        <f t="shared" si="9"/>
        <v>-3.5010197144799492E-2</v>
      </c>
    </row>
    <row r="599" spans="1:9" x14ac:dyDescent="0.35">
      <c r="A599" s="1" t="s">
        <v>8</v>
      </c>
      <c r="B599" s="2">
        <v>41913</v>
      </c>
      <c r="C599">
        <v>28.39</v>
      </c>
      <c r="D599">
        <v>29.34</v>
      </c>
      <c r="E599">
        <v>29.62</v>
      </c>
      <c r="F599">
        <v>25.92</v>
      </c>
      <c r="G599" s="1" t="s">
        <v>120</v>
      </c>
      <c r="H599">
        <v>-3.49E-2</v>
      </c>
      <c r="I599" s="3">
        <f t="shared" si="9"/>
        <v>-3.311025008805922E-2</v>
      </c>
    </row>
    <row r="600" spans="1:9" x14ac:dyDescent="0.35">
      <c r="A600" s="1" t="s">
        <v>8</v>
      </c>
      <c r="B600" s="2">
        <v>41944</v>
      </c>
      <c r="C600">
        <v>27.45</v>
      </c>
      <c r="D600">
        <v>28.18</v>
      </c>
      <c r="E600">
        <v>28.36</v>
      </c>
      <c r="F600">
        <v>26.96</v>
      </c>
      <c r="G600" s="1" t="s">
        <v>129</v>
      </c>
      <c r="H600">
        <v>-3.3099999999999997E-2</v>
      </c>
      <c r="I600" s="3">
        <f t="shared" si="9"/>
        <v>-3.3515482695810499E-2</v>
      </c>
    </row>
    <row r="601" spans="1:9" x14ac:dyDescent="0.35">
      <c r="A601" s="1" t="s">
        <v>8</v>
      </c>
      <c r="B601" s="2">
        <v>41974</v>
      </c>
      <c r="C601">
        <v>26.53</v>
      </c>
      <c r="D601">
        <v>27.25</v>
      </c>
      <c r="E601">
        <v>27.44</v>
      </c>
      <c r="F601">
        <v>24.86</v>
      </c>
      <c r="G601" s="1" t="s">
        <v>128</v>
      </c>
      <c r="H601">
        <v>-3.3500000000000002E-2</v>
      </c>
      <c r="I601" s="3">
        <f t="shared" si="9"/>
        <v>1.3192612137203085E-2</v>
      </c>
    </row>
    <row r="602" spans="1:9" x14ac:dyDescent="0.35">
      <c r="A602" s="1" t="s">
        <v>8</v>
      </c>
      <c r="B602" s="2">
        <v>42005</v>
      </c>
      <c r="C602">
        <v>26.88</v>
      </c>
      <c r="D602">
        <v>26.63</v>
      </c>
      <c r="E602">
        <v>27.27</v>
      </c>
      <c r="F602">
        <v>24.55</v>
      </c>
      <c r="G602" s="1" t="s">
        <v>127</v>
      </c>
      <c r="H602">
        <v>1.2999999999999999E-2</v>
      </c>
      <c r="I602" s="3">
        <f t="shared" si="9"/>
        <v>4.6502976190476192E-2</v>
      </c>
    </row>
    <row r="603" spans="1:9" x14ac:dyDescent="0.35">
      <c r="A603" s="1" t="s">
        <v>8</v>
      </c>
      <c r="B603" s="2">
        <v>42036</v>
      </c>
      <c r="C603">
        <v>28.13</v>
      </c>
      <c r="D603">
        <v>26.72</v>
      </c>
      <c r="E603">
        <v>28.47</v>
      </c>
      <c r="F603">
        <v>26.09</v>
      </c>
      <c r="G603" s="1" t="s">
        <v>126</v>
      </c>
      <c r="H603">
        <v>4.6699999999999998E-2</v>
      </c>
      <c r="I603" s="3">
        <f t="shared" si="9"/>
        <v>-1.3864201919658748E-2</v>
      </c>
    </row>
    <row r="604" spans="1:9" x14ac:dyDescent="0.35">
      <c r="A604" s="1" t="s">
        <v>8</v>
      </c>
      <c r="B604" s="2">
        <v>42064</v>
      </c>
      <c r="C604">
        <v>27.74</v>
      </c>
      <c r="D604">
        <v>28.35</v>
      </c>
      <c r="E604">
        <v>29.16</v>
      </c>
      <c r="F604">
        <v>27.52</v>
      </c>
      <c r="G604" s="1" t="s">
        <v>125</v>
      </c>
      <c r="H604">
        <v>-1.41E-2</v>
      </c>
      <c r="I604" s="3">
        <f t="shared" si="9"/>
        <v>-1.0814708002883821E-2</v>
      </c>
    </row>
    <row r="605" spans="1:9" x14ac:dyDescent="0.35">
      <c r="A605" s="1" t="s">
        <v>8</v>
      </c>
      <c r="B605" s="2">
        <v>42095</v>
      </c>
      <c r="C605">
        <v>27.44</v>
      </c>
      <c r="D605">
        <v>27.74</v>
      </c>
      <c r="E605">
        <v>29.24</v>
      </c>
      <c r="F605">
        <v>26.45</v>
      </c>
      <c r="G605" s="1" t="s">
        <v>124</v>
      </c>
      <c r="H605">
        <v>-1.0699999999999999E-2</v>
      </c>
      <c r="I605" s="3">
        <f t="shared" si="9"/>
        <v>-6.1953352769679917E-3</v>
      </c>
    </row>
    <row r="606" spans="1:9" x14ac:dyDescent="0.35">
      <c r="A606" s="1" t="s">
        <v>8</v>
      </c>
      <c r="B606" s="2">
        <v>42125</v>
      </c>
      <c r="C606">
        <v>27.27</v>
      </c>
      <c r="D606">
        <v>27.53</v>
      </c>
      <c r="E606">
        <v>27.91</v>
      </c>
      <c r="F606">
        <v>26.61</v>
      </c>
      <c r="G606" s="1" t="s">
        <v>123</v>
      </c>
      <c r="H606">
        <v>-6.3E-3</v>
      </c>
      <c r="I606" s="3">
        <f t="shared" si="9"/>
        <v>-9.9009900990098855E-3</v>
      </c>
    </row>
    <row r="607" spans="1:9" x14ac:dyDescent="0.35">
      <c r="A607" s="1" t="s">
        <v>8</v>
      </c>
      <c r="B607" s="2">
        <v>42156</v>
      </c>
      <c r="C607">
        <v>27</v>
      </c>
      <c r="D607">
        <v>27.44</v>
      </c>
      <c r="E607">
        <v>28.28</v>
      </c>
      <c r="F607">
        <v>26.94</v>
      </c>
      <c r="G607" s="1" t="s">
        <v>122</v>
      </c>
      <c r="H607">
        <v>-9.7000000000000003E-3</v>
      </c>
      <c r="I607" s="3">
        <f t="shared" si="9"/>
        <v>0.21777777777777788</v>
      </c>
    </row>
    <row r="608" spans="1:9" x14ac:dyDescent="0.35">
      <c r="A608" s="1" t="s">
        <v>8</v>
      </c>
      <c r="B608" s="2">
        <v>42186</v>
      </c>
      <c r="C608">
        <v>32.880000000000003</v>
      </c>
      <c r="D608">
        <v>27.18</v>
      </c>
      <c r="E608">
        <v>35.67</v>
      </c>
      <c r="F608">
        <v>26.99</v>
      </c>
      <c r="G608" s="1" t="s">
        <v>121</v>
      </c>
      <c r="H608">
        <v>0.2175</v>
      </c>
      <c r="I608" s="3">
        <f t="shared" si="9"/>
        <v>-1.4902676399026824E-2</v>
      </c>
    </row>
    <row r="609" spans="1:9" x14ac:dyDescent="0.35">
      <c r="A609" s="1" t="s">
        <v>8</v>
      </c>
      <c r="B609" s="2">
        <v>42217</v>
      </c>
      <c r="C609">
        <v>32.39</v>
      </c>
      <c r="D609">
        <v>32.880000000000003</v>
      </c>
      <c r="E609">
        <v>35.200000000000003</v>
      </c>
      <c r="F609">
        <v>29.65</v>
      </c>
      <c r="G609" s="1" t="s">
        <v>120</v>
      </c>
      <c r="H609">
        <v>-1.47E-2</v>
      </c>
      <c r="I609" s="3">
        <f t="shared" si="9"/>
        <v>-1.4510651435628245E-2</v>
      </c>
    </row>
    <row r="610" spans="1:9" x14ac:dyDescent="0.35">
      <c r="A610" s="1" t="s">
        <v>8</v>
      </c>
      <c r="B610" s="2">
        <v>42248</v>
      </c>
      <c r="C610">
        <v>31.92</v>
      </c>
      <c r="D610">
        <v>31.69</v>
      </c>
      <c r="E610">
        <v>34.1</v>
      </c>
      <c r="F610">
        <v>30.89</v>
      </c>
      <c r="G610" s="1" t="s">
        <v>119</v>
      </c>
      <c r="H610">
        <v>-1.46E-2</v>
      </c>
      <c r="I610" s="3">
        <f t="shared" si="9"/>
        <v>0.15507518796992467</v>
      </c>
    </row>
    <row r="611" spans="1:9" x14ac:dyDescent="0.35">
      <c r="A611" s="1" t="s">
        <v>8</v>
      </c>
      <c r="B611" s="2">
        <v>42278</v>
      </c>
      <c r="C611">
        <v>36.869999999999997</v>
      </c>
      <c r="D611">
        <v>31.9</v>
      </c>
      <c r="E611">
        <v>37.630000000000003</v>
      </c>
      <c r="F611">
        <v>31.56</v>
      </c>
      <c r="G611" s="1" t="s">
        <v>118</v>
      </c>
      <c r="H611">
        <v>0.15509999999999999</v>
      </c>
      <c r="I611" s="3">
        <f t="shared" si="9"/>
        <v>3.4445348521833556E-2</v>
      </c>
    </row>
    <row r="612" spans="1:9" x14ac:dyDescent="0.35">
      <c r="A612" s="1" t="s">
        <v>8</v>
      </c>
      <c r="B612" s="2">
        <v>42309</v>
      </c>
      <c r="C612">
        <v>38.14</v>
      </c>
      <c r="D612">
        <v>36.89</v>
      </c>
      <c r="E612">
        <v>39.15</v>
      </c>
      <c r="F612">
        <v>36.57</v>
      </c>
      <c r="G612" s="1" t="s">
        <v>117</v>
      </c>
      <c r="H612">
        <v>3.4500000000000003E-2</v>
      </c>
      <c r="I612" s="3">
        <f t="shared" si="9"/>
        <v>1.9926586261143103E-2</v>
      </c>
    </row>
    <row r="613" spans="1:9" x14ac:dyDescent="0.35">
      <c r="A613" s="1" t="s">
        <v>8</v>
      </c>
      <c r="B613" s="2">
        <v>42339</v>
      </c>
      <c r="C613">
        <v>38.9</v>
      </c>
      <c r="D613">
        <v>38.35</v>
      </c>
      <c r="E613">
        <v>39.93</v>
      </c>
      <c r="F613">
        <v>36.81</v>
      </c>
      <c r="G613" s="1" t="s">
        <v>116</v>
      </c>
      <c r="H613">
        <v>1.9900000000000001E-2</v>
      </c>
      <c r="I613" s="3">
        <f t="shared" si="9"/>
        <v>-2.1336760925449828E-2</v>
      </c>
    </row>
    <row r="614" spans="1:9" x14ac:dyDescent="0.35">
      <c r="A614" s="1" t="s">
        <v>8</v>
      </c>
      <c r="B614" s="2">
        <v>42370</v>
      </c>
      <c r="C614">
        <v>38.07</v>
      </c>
      <c r="D614">
        <v>38.11</v>
      </c>
      <c r="E614">
        <v>38.46</v>
      </c>
      <c r="F614">
        <v>34.39</v>
      </c>
      <c r="G614" s="1" t="s">
        <v>90</v>
      </c>
      <c r="H614">
        <v>-2.1399999999999999E-2</v>
      </c>
      <c r="I614" s="3">
        <f t="shared" si="9"/>
        <v>-5.8050958760178642E-2</v>
      </c>
    </row>
    <row r="615" spans="1:9" x14ac:dyDescent="0.35">
      <c r="A615" s="1" t="s">
        <v>8</v>
      </c>
      <c r="B615" s="2">
        <v>42401</v>
      </c>
      <c r="C615">
        <v>35.86</v>
      </c>
      <c r="D615">
        <v>38.56</v>
      </c>
      <c r="E615">
        <v>40.520000000000003</v>
      </c>
      <c r="F615">
        <v>34.1</v>
      </c>
      <c r="G615" s="1" t="s">
        <v>115</v>
      </c>
      <c r="H615">
        <v>-5.8000000000000003E-2</v>
      </c>
      <c r="I615" s="3">
        <f t="shared" si="9"/>
        <v>6.3859453430005556E-2</v>
      </c>
    </row>
    <row r="616" spans="1:9" x14ac:dyDescent="0.35">
      <c r="A616" s="1" t="s">
        <v>8</v>
      </c>
      <c r="B616" s="2">
        <v>42430</v>
      </c>
      <c r="C616">
        <v>38.15</v>
      </c>
      <c r="D616">
        <v>36.06</v>
      </c>
      <c r="E616">
        <v>38.869999999999997</v>
      </c>
      <c r="F616">
        <v>35.200000000000003</v>
      </c>
      <c r="G616" s="1" t="s">
        <v>114</v>
      </c>
      <c r="H616">
        <v>6.3700000000000007E-2</v>
      </c>
      <c r="I616" s="3">
        <f t="shared" si="9"/>
        <v>-7.2346002621231933E-2</v>
      </c>
    </row>
    <row r="617" spans="1:9" x14ac:dyDescent="0.35">
      <c r="A617" s="1" t="s">
        <v>8</v>
      </c>
      <c r="B617" s="2">
        <v>42461</v>
      </c>
      <c r="C617">
        <v>35.39</v>
      </c>
      <c r="D617">
        <v>37.86</v>
      </c>
      <c r="E617">
        <v>39.549999999999997</v>
      </c>
      <c r="F617">
        <v>35.159999999999997</v>
      </c>
      <c r="G617" s="1" t="s">
        <v>113</v>
      </c>
      <c r="H617">
        <v>-7.2099999999999997E-2</v>
      </c>
      <c r="I617" s="3">
        <f t="shared" si="9"/>
        <v>5.7925967787510517E-2</v>
      </c>
    </row>
    <row r="618" spans="1:9" x14ac:dyDescent="0.35">
      <c r="A618" s="1" t="s">
        <v>8</v>
      </c>
      <c r="B618" s="2">
        <v>42491</v>
      </c>
      <c r="C618">
        <v>37.44</v>
      </c>
      <c r="D618">
        <v>35.6</v>
      </c>
      <c r="E618">
        <v>37.67</v>
      </c>
      <c r="F618">
        <v>35.200000000000003</v>
      </c>
      <c r="G618" s="1" t="s">
        <v>112</v>
      </c>
      <c r="H618">
        <v>5.79E-2</v>
      </c>
      <c r="I618" s="3">
        <f t="shared" si="9"/>
        <v>-6.0363247863247815E-2</v>
      </c>
    </row>
    <row r="619" spans="1:9" x14ac:dyDescent="0.35">
      <c r="A619" s="1" t="s">
        <v>8</v>
      </c>
      <c r="B619" s="2">
        <v>42522</v>
      </c>
      <c r="C619">
        <v>35.18</v>
      </c>
      <c r="D619">
        <v>37.42</v>
      </c>
      <c r="E619">
        <v>37.57</v>
      </c>
      <c r="F619">
        <v>33.630000000000003</v>
      </c>
      <c r="G619" s="1" t="s">
        <v>111</v>
      </c>
      <c r="H619">
        <v>-6.0499999999999998E-2</v>
      </c>
      <c r="I619" s="3">
        <f t="shared" si="9"/>
        <v>0.12478681068789087</v>
      </c>
    </row>
    <row r="620" spans="1:9" x14ac:dyDescent="0.35">
      <c r="A620" s="1" t="s">
        <v>8</v>
      </c>
      <c r="B620" s="2">
        <v>42552</v>
      </c>
      <c r="C620">
        <v>39.57</v>
      </c>
      <c r="D620">
        <v>35.26</v>
      </c>
      <c r="E620">
        <v>40.200000000000003</v>
      </c>
      <c r="F620">
        <v>34.950000000000003</v>
      </c>
      <c r="G620" s="1" t="s">
        <v>110</v>
      </c>
      <c r="H620">
        <v>0.12479999999999999</v>
      </c>
      <c r="I620" s="3">
        <f t="shared" si="9"/>
        <v>-2.0217336365933357E-3</v>
      </c>
    </row>
    <row r="621" spans="1:9" x14ac:dyDescent="0.35">
      <c r="A621" s="1" t="s">
        <v>8</v>
      </c>
      <c r="B621" s="2">
        <v>42583</v>
      </c>
      <c r="C621">
        <v>39.49</v>
      </c>
      <c r="D621">
        <v>39.33</v>
      </c>
      <c r="E621">
        <v>40.69</v>
      </c>
      <c r="F621">
        <v>39.25</v>
      </c>
      <c r="G621" s="1" t="s">
        <v>109</v>
      </c>
      <c r="H621">
        <v>-1.9E-3</v>
      </c>
      <c r="I621" s="3">
        <f t="shared" si="9"/>
        <v>1.7979235249430257E-2</v>
      </c>
    </row>
    <row r="622" spans="1:9" x14ac:dyDescent="0.35">
      <c r="A622" s="1" t="s">
        <v>8</v>
      </c>
      <c r="B622" s="2">
        <v>42614</v>
      </c>
      <c r="C622">
        <v>40.200000000000003</v>
      </c>
      <c r="D622">
        <v>39.6</v>
      </c>
      <c r="E622">
        <v>40.950000000000003</v>
      </c>
      <c r="F622">
        <v>39.17</v>
      </c>
      <c r="G622" s="1" t="s">
        <v>108</v>
      </c>
      <c r="H622">
        <v>1.7999999999999999E-2</v>
      </c>
      <c r="I622" s="3">
        <f t="shared" si="9"/>
        <v>7.2139303482586844E-3</v>
      </c>
    </row>
    <row r="623" spans="1:9" x14ac:dyDescent="0.35">
      <c r="A623" s="1" t="s">
        <v>8</v>
      </c>
      <c r="B623" s="2">
        <v>42644</v>
      </c>
      <c r="C623">
        <v>40.49</v>
      </c>
      <c r="D623">
        <v>40.130000000000003</v>
      </c>
      <c r="E623">
        <v>41.95</v>
      </c>
      <c r="F623">
        <v>39.81</v>
      </c>
      <c r="G623" s="1" t="s">
        <v>107</v>
      </c>
      <c r="H623">
        <v>7.3000000000000001E-3</v>
      </c>
      <c r="I623" s="3">
        <f t="shared" si="9"/>
        <v>-4.1985675475426101E-2</v>
      </c>
    </row>
    <row r="624" spans="1:9" x14ac:dyDescent="0.35">
      <c r="A624" s="1" t="s">
        <v>8</v>
      </c>
      <c r="B624" s="2">
        <v>42675</v>
      </c>
      <c r="C624">
        <v>38.79</v>
      </c>
      <c r="D624">
        <v>40.54</v>
      </c>
      <c r="E624">
        <v>40.799999999999997</v>
      </c>
      <c r="F624">
        <v>37.18</v>
      </c>
      <c r="G624" s="1" t="s">
        <v>106</v>
      </c>
      <c r="H624">
        <v>-4.2000000000000003E-2</v>
      </c>
      <c r="I624" s="3">
        <f t="shared" si="9"/>
        <v>2.1397267336942468E-2</v>
      </c>
    </row>
    <row r="625" spans="1:9" x14ac:dyDescent="0.35">
      <c r="A625" s="1" t="s">
        <v>8</v>
      </c>
      <c r="B625" s="2">
        <v>42705</v>
      </c>
      <c r="C625">
        <v>39.619999999999997</v>
      </c>
      <c r="D625">
        <v>38.93</v>
      </c>
      <c r="E625">
        <v>41.22</v>
      </c>
      <c r="F625">
        <v>37.67</v>
      </c>
      <c r="G625" s="1" t="s">
        <v>105</v>
      </c>
      <c r="H625">
        <v>2.1399999999999999E-2</v>
      </c>
      <c r="I625" s="3">
        <f t="shared" si="9"/>
        <v>3.5083291267036867E-2</v>
      </c>
    </row>
    <row r="626" spans="1:9" x14ac:dyDescent="0.35">
      <c r="A626" s="1" t="s">
        <v>8</v>
      </c>
      <c r="B626" s="2">
        <v>42736</v>
      </c>
      <c r="C626">
        <v>41.01</v>
      </c>
      <c r="D626">
        <v>40.03</v>
      </c>
      <c r="E626">
        <v>43.35</v>
      </c>
      <c r="F626">
        <v>39.840000000000003</v>
      </c>
      <c r="G626" s="1" t="s">
        <v>104</v>
      </c>
      <c r="H626">
        <v>3.5000000000000003E-2</v>
      </c>
      <c r="I626" s="3">
        <f t="shared" si="9"/>
        <v>3.0236527676176593E-2</v>
      </c>
    </row>
    <row r="627" spans="1:9" x14ac:dyDescent="0.35">
      <c r="A627" s="1" t="s">
        <v>8</v>
      </c>
      <c r="B627" s="2">
        <v>42767</v>
      </c>
      <c r="C627">
        <v>42.25</v>
      </c>
      <c r="D627">
        <v>41.2</v>
      </c>
      <c r="E627">
        <v>42.69</v>
      </c>
      <c r="F627">
        <v>40.6</v>
      </c>
      <c r="G627" s="1" t="s">
        <v>103</v>
      </c>
      <c r="H627">
        <v>3.0200000000000001E-2</v>
      </c>
      <c r="I627" s="3">
        <f t="shared" si="9"/>
        <v>3.3136094674556349E-3</v>
      </c>
    </row>
    <row r="628" spans="1:9" x14ac:dyDescent="0.35">
      <c r="A628" s="1" t="s">
        <v>8</v>
      </c>
      <c r="B628" s="2">
        <v>42795</v>
      </c>
      <c r="C628">
        <v>42.39</v>
      </c>
      <c r="D628">
        <v>42.57</v>
      </c>
      <c r="E628">
        <v>43.72</v>
      </c>
      <c r="F628">
        <v>41.22</v>
      </c>
      <c r="G628" s="1" t="s">
        <v>102</v>
      </c>
      <c r="H628">
        <v>3.3999999999999998E-3</v>
      </c>
      <c r="I628" s="3">
        <f t="shared" si="9"/>
        <v>9.0587402689313423E-2</v>
      </c>
    </row>
    <row r="629" spans="1:9" x14ac:dyDescent="0.35">
      <c r="A629" s="1" t="s">
        <v>8</v>
      </c>
      <c r="B629" s="2">
        <v>42826</v>
      </c>
      <c r="C629">
        <v>46.23</v>
      </c>
      <c r="D629">
        <v>42.44</v>
      </c>
      <c r="E629">
        <v>46.79</v>
      </c>
      <c r="F629">
        <v>41.73</v>
      </c>
      <c r="G629" s="1" t="s">
        <v>101</v>
      </c>
      <c r="H629">
        <v>9.0499999999999997E-2</v>
      </c>
      <c r="I629" s="3">
        <f t="shared" si="9"/>
        <v>6.7488643737832685E-2</v>
      </c>
    </row>
    <row r="630" spans="1:9" x14ac:dyDescent="0.35">
      <c r="A630" s="1" t="s">
        <v>8</v>
      </c>
      <c r="B630" s="2">
        <v>42856</v>
      </c>
      <c r="C630">
        <v>49.35</v>
      </c>
      <c r="D630">
        <v>46.21</v>
      </c>
      <c r="E630">
        <v>49.98</v>
      </c>
      <c r="F630">
        <v>46.04</v>
      </c>
      <c r="G630" s="1" t="s">
        <v>100</v>
      </c>
      <c r="H630">
        <v>6.7699999999999996E-2</v>
      </c>
      <c r="I630" s="3">
        <f t="shared" si="9"/>
        <v>-5.8156028368794417E-2</v>
      </c>
    </row>
    <row r="631" spans="1:9" x14ac:dyDescent="0.35">
      <c r="A631" s="1" t="s">
        <v>8</v>
      </c>
      <c r="B631" s="2">
        <v>42887</v>
      </c>
      <c r="C631">
        <v>46.48</v>
      </c>
      <c r="D631">
        <v>49.55</v>
      </c>
      <c r="E631">
        <v>50.43</v>
      </c>
      <c r="F631">
        <v>46.48</v>
      </c>
      <c r="G631" s="1" t="s">
        <v>99</v>
      </c>
      <c r="H631">
        <v>-5.8200000000000002E-2</v>
      </c>
      <c r="I631" s="3">
        <f t="shared" si="9"/>
        <v>1.7211703958692003E-2</v>
      </c>
    </row>
    <row r="632" spans="1:9" x14ac:dyDescent="0.35">
      <c r="A632" s="1" t="s">
        <v>8</v>
      </c>
      <c r="B632" s="2">
        <v>42917</v>
      </c>
      <c r="C632">
        <v>47.28</v>
      </c>
      <c r="D632">
        <v>46.66</v>
      </c>
      <c r="E632">
        <v>50.31</v>
      </c>
      <c r="F632">
        <v>45.77</v>
      </c>
      <c r="G632" s="1" t="s">
        <v>98</v>
      </c>
      <c r="H632">
        <v>1.7000000000000001E-2</v>
      </c>
      <c r="I632" s="3">
        <f t="shared" si="9"/>
        <v>1.0152284263959324E-2</v>
      </c>
    </row>
    <row r="633" spans="1:9" x14ac:dyDescent="0.35">
      <c r="A633" s="1" t="s">
        <v>8</v>
      </c>
      <c r="B633" s="2">
        <v>42948</v>
      </c>
      <c r="C633">
        <v>47.76</v>
      </c>
      <c r="D633">
        <v>47.39</v>
      </c>
      <c r="E633">
        <v>47.86</v>
      </c>
      <c r="F633">
        <v>45.93</v>
      </c>
      <c r="G633" s="1" t="s">
        <v>97</v>
      </c>
      <c r="H633">
        <v>1.03E-2</v>
      </c>
      <c r="I633" s="3">
        <f t="shared" si="9"/>
        <v>1.947236180904522E-2</v>
      </c>
    </row>
    <row r="634" spans="1:9" x14ac:dyDescent="0.35">
      <c r="A634" s="1" t="s">
        <v>8</v>
      </c>
      <c r="B634" s="2">
        <v>42979</v>
      </c>
      <c r="C634">
        <v>48.69</v>
      </c>
      <c r="D634">
        <v>47.87</v>
      </c>
      <c r="E634">
        <v>48.79</v>
      </c>
      <c r="F634">
        <v>46.23</v>
      </c>
      <c r="G634" s="1" t="s">
        <v>96</v>
      </c>
      <c r="H634">
        <v>1.9300000000000001E-2</v>
      </c>
      <c r="I634" s="3">
        <f t="shared" si="9"/>
        <v>6.0792770589443434E-2</v>
      </c>
    </row>
    <row r="635" spans="1:9" x14ac:dyDescent="0.35">
      <c r="A635" s="1" t="s">
        <v>8</v>
      </c>
      <c r="B635" s="2">
        <v>43009</v>
      </c>
      <c r="C635">
        <v>51.65</v>
      </c>
      <c r="D635">
        <v>48.78</v>
      </c>
      <c r="E635">
        <v>53.18</v>
      </c>
      <c r="F635">
        <v>48.1</v>
      </c>
      <c r="G635" s="1" t="s">
        <v>95</v>
      </c>
      <c r="H635">
        <v>6.0900000000000003E-2</v>
      </c>
      <c r="I635" s="3">
        <f t="shared" si="9"/>
        <v>3.0977734753146894E-3</v>
      </c>
    </row>
    <row r="636" spans="1:9" x14ac:dyDescent="0.35">
      <c r="A636" s="1" t="s">
        <v>8</v>
      </c>
      <c r="B636" s="2">
        <v>43040</v>
      </c>
      <c r="C636">
        <v>51.81</v>
      </c>
      <c r="D636">
        <v>51.82</v>
      </c>
      <c r="E636">
        <v>54</v>
      </c>
      <c r="F636">
        <v>51.43</v>
      </c>
      <c r="G636" s="1" t="s">
        <v>94</v>
      </c>
      <c r="H636">
        <v>3.0000000000000001E-3</v>
      </c>
      <c r="I636" s="3">
        <f t="shared" si="9"/>
        <v>1.6599112140513402E-2</v>
      </c>
    </row>
    <row r="637" spans="1:9" x14ac:dyDescent="0.35">
      <c r="A637" s="1" t="s">
        <v>8</v>
      </c>
      <c r="B637" s="2">
        <v>43070</v>
      </c>
      <c r="C637">
        <v>52.67</v>
      </c>
      <c r="D637">
        <v>51.52</v>
      </c>
      <c r="E637">
        <v>54.32</v>
      </c>
      <c r="F637">
        <v>50.12</v>
      </c>
      <c r="G637" s="1" t="s">
        <v>93</v>
      </c>
      <c r="H637">
        <v>1.66E-2</v>
      </c>
      <c r="I637" s="3">
        <f t="shared" si="9"/>
        <v>0.12227074235807855</v>
      </c>
    </row>
    <row r="638" spans="1:9" x14ac:dyDescent="0.35">
      <c r="A638" s="1" t="s">
        <v>8</v>
      </c>
      <c r="B638" s="2">
        <v>43101</v>
      </c>
      <c r="C638">
        <v>59.11</v>
      </c>
      <c r="D638">
        <v>52.65</v>
      </c>
      <c r="E638">
        <v>59.9</v>
      </c>
      <c r="F638">
        <v>52.65</v>
      </c>
      <c r="G638" s="1" t="s">
        <v>92</v>
      </c>
      <c r="H638">
        <v>0.12230000000000001</v>
      </c>
      <c r="I638" s="3">
        <f t="shared" si="9"/>
        <v>-6.6147859922178934E-2</v>
      </c>
    </row>
    <row r="639" spans="1:9" x14ac:dyDescent="0.35">
      <c r="A639" s="1" t="s">
        <v>8</v>
      </c>
      <c r="B639" s="2">
        <v>43132</v>
      </c>
      <c r="C639">
        <v>55.2</v>
      </c>
      <c r="D639">
        <v>58.8</v>
      </c>
      <c r="E639">
        <v>59.37</v>
      </c>
      <c r="F639">
        <v>49.85</v>
      </c>
      <c r="G639" s="1" t="s">
        <v>91</v>
      </c>
      <c r="H639">
        <v>-6.6199999999999995E-2</v>
      </c>
      <c r="I639" s="3">
        <f t="shared" si="9"/>
        <v>-6.0507246376811652E-2</v>
      </c>
    </row>
    <row r="640" spans="1:9" x14ac:dyDescent="0.35">
      <c r="A640" s="1" t="s">
        <v>8</v>
      </c>
      <c r="B640" s="2">
        <v>43160</v>
      </c>
      <c r="C640">
        <v>51.86</v>
      </c>
      <c r="D640">
        <v>55.48</v>
      </c>
      <c r="E640">
        <v>58.91</v>
      </c>
      <c r="F640">
        <v>49.2</v>
      </c>
      <c r="G640" s="1" t="s">
        <v>90</v>
      </c>
      <c r="H640">
        <v>-6.0499999999999998E-2</v>
      </c>
      <c r="I640" s="3">
        <f t="shared" si="9"/>
        <v>-1.7932896259159271E-2</v>
      </c>
    </row>
    <row r="641" spans="1:9" x14ac:dyDescent="0.35">
      <c r="A641" s="1" t="s">
        <v>8</v>
      </c>
      <c r="B641" s="2">
        <v>43191</v>
      </c>
      <c r="C641">
        <v>50.93</v>
      </c>
      <c r="D641">
        <v>51.38</v>
      </c>
      <c r="E641">
        <v>54.88</v>
      </c>
      <c r="F641">
        <v>49.71</v>
      </c>
      <c r="G641" s="1" t="s">
        <v>89</v>
      </c>
      <c r="H641">
        <v>-1.7899999999999999E-2</v>
      </c>
      <c r="I641" s="3">
        <f t="shared" si="9"/>
        <v>7.9913606911447096E-2</v>
      </c>
    </row>
    <row r="642" spans="1:9" x14ac:dyDescent="0.35">
      <c r="A642" s="1" t="s">
        <v>8</v>
      </c>
      <c r="B642" s="2">
        <v>43221</v>
      </c>
      <c r="C642">
        <v>55</v>
      </c>
      <c r="D642">
        <v>50.81</v>
      </c>
      <c r="E642">
        <v>55.91</v>
      </c>
      <c r="F642">
        <v>50.39</v>
      </c>
      <c r="G642" s="1" t="s">
        <v>88</v>
      </c>
      <c r="H642">
        <v>7.9899999999999999E-2</v>
      </c>
      <c r="I642" s="3">
        <f t="shared" ref="I642:I705" si="10">IF(A643=A642, (C643-C642)/C642, 0)</f>
        <v>2.654545454545456E-2</v>
      </c>
    </row>
    <row r="643" spans="1:9" x14ac:dyDescent="0.35">
      <c r="A643" s="1" t="s">
        <v>8</v>
      </c>
      <c r="B643" s="2">
        <v>43252</v>
      </c>
      <c r="C643">
        <v>56.46</v>
      </c>
      <c r="D643">
        <v>55.64</v>
      </c>
      <c r="E643">
        <v>60.07</v>
      </c>
      <c r="F643">
        <v>55.3</v>
      </c>
      <c r="G643" s="1" t="s">
        <v>87</v>
      </c>
      <c r="H643">
        <v>2.6499999999999999E-2</v>
      </c>
      <c r="I643" s="3">
        <f t="shared" si="10"/>
        <v>8.6787105915692497E-2</v>
      </c>
    </row>
    <row r="644" spans="1:9" x14ac:dyDescent="0.35">
      <c r="A644" s="1" t="s">
        <v>8</v>
      </c>
      <c r="B644" s="2">
        <v>43282</v>
      </c>
      <c r="C644">
        <v>61.36</v>
      </c>
      <c r="D644">
        <v>55.77</v>
      </c>
      <c r="E644">
        <v>64.569999999999993</v>
      </c>
      <c r="F644">
        <v>55.33</v>
      </c>
      <c r="G644" s="1" t="s">
        <v>86</v>
      </c>
      <c r="H644">
        <v>8.6800000000000002E-2</v>
      </c>
      <c r="I644" s="3">
        <f t="shared" si="10"/>
        <v>3.7483702737940673E-3</v>
      </c>
    </row>
    <row r="645" spans="1:9" x14ac:dyDescent="0.35">
      <c r="A645" s="1" t="s">
        <v>8</v>
      </c>
      <c r="B645" s="2">
        <v>43313</v>
      </c>
      <c r="C645">
        <v>61.59</v>
      </c>
      <c r="D645">
        <v>61.96</v>
      </c>
      <c r="E645">
        <v>63.6</v>
      </c>
      <c r="F645">
        <v>60.2</v>
      </c>
      <c r="G645" s="1" t="s">
        <v>85</v>
      </c>
      <c r="H645">
        <v>3.7000000000000002E-3</v>
      </c>
      <c r="I645" s="3">
        <f t="shared" si="10"/>
        <v>-2.0133138496509204E-2</v>
      </c>
    </row>
    <row r="646" spans="1:9" x14ac:dyDescent="0.35">
      <c r="A646" s="1" t="s">
        <v>8</v>
      </c>
      <c r="B646" s="2">
        <v>43344</v>
      </c>
      <c r="C646">
        <v>60.35</v>
      </c>
      <c r="D646">
        <v>61.13</v>
      </c>
      <c r="E646">
        <v>61.39</v>
      </c>
      <c r="F646">
        <v>57.58</v>
      </c>
      <c r="G646" s="1" t="s">
        <v>84</v>
      </c>
      <c r="H646">
        <v>-2.01E-2</v>
      </c>
      <c r="I646" s="3">
        <f t="shared" si="10"/>
        <v>-9.6437448218724117E-2</v>
      </c>
    </row>
    <row r="647" spans="1:9" x14ac:dyDescent="0.35">
      <c r="A647" s="1" t="s">
        <v>8</v>
      </c>
      <c r="B647" s="2">
        <v>43374</v>
      </c>
      <c r="C647">
        <v>54.53</v>
      </c>
      <c r="D647">
        <v>60.65</v>
      </c>
      <c r="E647">
        <v>61.23</v>
      </c>
      <c r="F647">
        <v>50.36</v>
      </c>
      <c r="G647" s="1" t="s">
        <v>83</v>
      </c>
      <c r="H647">
        <v>-9.6500000000000002E-2</v>
      </c>
      <c r="I647" s="3">
        <f t="shared" si="10"/>
        <v>1.7421602787456369E-2</v>
      </c>
    </row>
    <row r="648" spans="1:9" x14ac:dyDescent="0.35">
      <c r="A648" s="1" t="s">
        <v>8</v>
      </c>
      <c r="B648" s="2">
        <v>43405</v>
      </c>
      <c r="C648">
        <v>55.48</v>
      </c>
      <c r="D648">
        <v>54.57</v>
      </c>
      <c r="E648">
        <v>55.5</v>
      </c>
      <c r="F648">
        <v>50.11</v>
      </c>
      <c r="G648" s="1" t="s">
        <v>82</v>
      </c>
      <c r="H648">
        <v>1.7500000000000002E-2</v>
      </c>
      <c r="I648" s="3">
        <f t="shared" si="10"/>
        <v>-5.8219178082191729E-2</v>
      </c>
    </row>
    <row r="649" spans="1:9" x14ac:dyDescent="0.35">
      <c r="A649" s="1" t="s">
        <v>8</v>
      </c>
      <c r="B649" s="2">
        <v>43435</v>
      </c>
      <c r="C649">
        <v>52.25</v>
      </c>
      <c r="D649">
        <v>56.61</v>
      </c>
      <c r="E649">
        <v>56.75</v>
      </c>
      <c r="F649">
        <v>48.88</v>
      </c>
      <c r="G649" s="1" t="s">
        <v>81</v>
      </c>
      <c r="H649">
        <v>-5.8299999999999998E-2</v>
      </c>
      <c r="I649" s="3">
        <f t="shared" si="10"/>
        <v>7.7320574162679415E-2</v>
      </c>
    </row>
    <row r="650" spans="1:9" x14ac:dyDescent="0.35">
      <c r="A650" s="1" t="s">
        <v>8</v>
      </c>
      <c r="B650" s="2">
        <v>43466</v>
      </c>
      <c r="C650">
        <v>56.29</v>
      </c>
      <c r="D650">
        <v>51.36</v>
      </c>
      <c r="E650">
        <v>56.38</v>
      </c>
      <c r="F650">
        <v>51.12</v>
      </c>
      <c r="G650" s="1" t="s">
        <v>80</v>
      </c>
      <c r="H650">
        <v>7.7399999999999997E-2</v>
      </c>
      <c r="I650" s="3">
        <f t="shared" si="10"/>
        <v>7.1060579143718511E-4</v>
      </c>
    </row>
    <row r="651" spans="1:9" x14ac:dyDescent="0.35">
      <c r="A651" s="1" t="s">
        <v>8</v>
      </c>
      <c r="B651" s="2">
        <v>43497</v>
      </c>
      <c r="C651">
        <v>56.33</v>
      </c>
      <c r="D651">
        <v>56.11</v>
      </c>
      <c r="E651">
        <v>57.7</v>
      </c>
      <c r="F651">
        <v>54.68</v>
      </c>
      <c r="G651" s="1" t="s">
        <v>79</v>
      </c>
      <c r="H651">
        <v>5.9999999999999995E-4</v>
      </c>
      <c r="I651" s="3">
        <f t="shared" si="10"/>
        <v>4.4558849636073233E-2</v>
      </c>
    </row>
    <row r="652" spans="1:9" x14ac:dyDescent="0.35">
      <c r="A652" s="1" t="s">
        <v>8</v>
      </c>
      <c r="B652" s="2">
        <v>43525</v>
      </c>
      <c r="C652">
        <v>58.84</v>
      </c>
      <c r="D652">
        <v>56.55</v>
      </c>
      <c r="E652">
        <v>61.82</v>
      </c>
      <c r="F652">
        <v>56.51</v>
      </c>
      <c r="G652" s="1" t="s">
        <v>78</v>
      </c>
      <c r="H652">
        <v>4.4699999999999997E-2</v>
      </c>
      <c r="I652" s="3">
        <f t="shared" si="10"/>
        <v>1.886471787899387E-2</v>
      </c>
    </row>
    <row r="653" spans="1:9" x14ac:dyDescent="0.35">
      <c r="A653" s="1" t="s">
        <v>8</v>
      </c>
      <c r="B653" s="2">
        <v>43556</v>
      </c>
      <c r="C653">
        <v>59.95</v>
      </c>
      <c r="D653">
        <v>59.38</v>
      </c>
      <c r="E653">
        <v>64.849999999999994</v>
      </c>
      <c r="F653">
        <v>59.15</v>
      </c>
      <c r="G653" s="1" t="s">
        <v>77</v>
      </c>
      <c r="H653">
        <v>1.8800000000000001E-2</v>
      </c>
      <c r="I653" s="3">
        <f t="shared" si="10"/>
        <v>-7.7064220183486312E-2</v>
      </c>
    </row>
    <row r="654" spans="1:9" x14ac:dyDescent="0.35">
      <c r="A654" s="1" t="s">
        <v>8</v>
      </c>
      <c r="B654" s="2">
        <v>43586</v>
      </c>
      <c r="C654">
        <v>55.33</v>
      </c>
      <c r="D654">
        <v>59.88</v>
      </c>
      <c r="E654">
        <v>59.96</v>
      </c>
      <c r="F654">
        <v>55.17</v>
      </c>
      <c r="G654" s="1" t="s">
        <v>76</v>
      </c>
      <c r="H654">
        <v>-7.7100000000000002E-2</v>
      </c>
      <c r="I654" s="3">
        <f t="shared" si="10"/>
        <v>-2.1507319718055265E-2</v>
      </c>
    </row>
    <row r="655" spans="1:9" x14ac:dyDescent="0.35">
      <c r="A655" s="1" t="s">
        <v>8</v>
      </c>
      <c r="B655" s="2">
        <v>43617</v>
      </c>
      <c r="C655">
        <v>54.14</v>
      </c>
      <c r="D655">
        <v>53.35</v>
      </c>
      <c r="E655">
        <v>56.33</v>
      </c>
      <c r="F655">
        <v>51.35</v>
      </c>
      <c r="G655" s="1" t="s">
        <v>75</v>
      </c>
      <c r="H655">
        <v>-2.1399999999999999E-2</v>
      </c>
      <c r="I655" s="3">
        <f t="shared" si="10"/>
        <v>0.12504617657923894</v>
      </c>
    </row>
    <row r="656" spans="1:9" x14ac:dyDescent="0.35">
      <c r="A656" s="1" t="s">
        <v>8</v>
      </c>
      <c r="B656" s="2">
        <v>43647</v>
      </c>
      <c r="C656">
        <v>60.91</v>
      </c>
      <c r="D656">
        <v>55.05</v>
      </c>
      <c r="E656">
        <v>63.42</v>
      </c>
      <c r="F656">
        <v>54.77</v>
      </c>
      <c r="G656" s="1" t="s">
        <v>74</v>
      </c>
      <c r="H656">
        <v>0.125</v>
      </c>
      <c r="I656" s="3">
        <f t="shared" si="10"/>
        <v>-2.2656378263010927E-2</v>
      </c>
    </row>
    <row r="657" spans="1:9" x14ac:dyDescent="0.35">
      <c r="A657" s="1" t="s">
        <v>8</v>
      </c>
      <c r="B657" s="2">
        <v>43678</v>
      </c>
      <c r="C657">
        <v>59.53</v>
      </c>
      <c r="D657">
        <v>60.88</v>
      </c>
      <c r="E657">
        <v>61.81</v>
      </c>
      <c r="F657">
        <v>57.14</v>
      </c>
      <c r="G657" s="1" t="s">
        <v>73</v>
      </c>
      <c r="H657">
        <v>-2.2700000000000001E-2</v>
      </c>
      <c r="I657" s="3">
        <f t="shared" si="10"/>
        <v>2.5701327061985572E-2</v>
      </c>
    </row>
    <row r="658" spans="1:9" x14ac:dyDescent="0.35">
      <c r="A658" s="1" t="s">
        <v>8</v>
      </c>
      <c r="B658" s="2">
        <v>43709</v>
      </c>
      <c r="C658">
        <v>61.06</v>
      </c>
      <c r="D658">
        <v>59.09</v>
      </c>
      <c r="E658">
        <v>62.4</v>
      </c>
      <c r="F658">
        <v>58.19</v>
      </c>
      <c r="G658" s="1" t="s">
        <v>72</v>
      </c>
      <c r="H658">
        <v>2.5700000000000001E-2</v>
      </c>
      <c r="I658" s="3">
        <f t="shared" si="10"/>
        <v>3.0789387487716924E-2</v>
      </c>
    </row>
    <row r="659" spans="1:9" x14ac:dyDescent="0.35">
      <c r="A659" s="1" t="s">
        <v>8</v>
      </c>
      <c r="B659" s="2">
        <v>43739</v>
      </c>
      <c r="C659">
        <v>62.94</v>
      </c>
      <c r="D659">
        <v>61.12</v>
      </c>
      <c r="E659">
        <v>64.959999999999994</v>
      </c>
      <c r="F659">
        <v>58.16</v>
      </c>
      <c r="G659" s="1" t="s">
        <v>71</v>
      </c>
      <c r="H659">
        <v>3.0800000000000001E-2</v>
      </c>
      <c r="I659" s="3">
        <f t="shared" si="10"/>
        <v>3.5907213218938756E-2</v>
      </c>
    </row>
    <row r="660" spans="1:9" x14ac:dyDescent="0.35">
      <c r="A660" s="1" t="s">
        <v>8</v>
      </c>
      <c r="B660" s="2">
        <v>43770</v>
      </c>
      <c r="C660">
        <v>65.2</v>
      </c>
      <c r="D660">
        <v>63.29</v>
      </c>
      <c r="E660">
        <v>66.7</v>
      </c>
      <c r="F660">
        <v>62.99</v>
      </c>
      <c r="G660" s="1" t="s">
        <v>70</v>
      </c>
      <c r="H660">
        <v>3.5999999999999997E-2</v>
      </c>
      <c r="I660" s="3">
        <f t="shared" si="10"/>
        <v>2.7147239263803618E-2</v>
      </c>
    </row>
    <row r="661" spans="1:9" x14ac:dyDescent="0.35">
      <c r="A661" s="1" t="s">
        <v>8</v>
      </c>
      <c r="B661" s="2">
        <v>43800</v>
      </c>
      <c r="C661">
        <v>66.97</v>
      </c>
      <c r="D661">
        <v>65.13</v>
      </c>
      <c r="E661">
        <v>68.349999999999994</v>
      </c>
      <c r="F661">
        <v>63.85</v>
      </c>
      <c r="G661" s="1" t="s">
        <v>69</v>
      </c>
      <c r="H661">
        <v>2.7099999999999999E-2</v>
      </c>
      <c r="I661" s="3">
        <f t="shared" si="10"/>
        <v>6.9732716141555948E-2</v>
      </c>
    </row>
    <row r="662" spans="1:9" x14ac:dyDescent="0.35">
      <c r="A662" s="1" t="s">
        <v>8</v>
      </c>
      <c r="B662" s="2">
        <v>43831</v>
      </c>
      <c r="C662">
        <v>71.64</v>
      </c>
      <c r="D662">
        <v>67.42</v>
      </c>
      <c r="E662">
        <v>75.03</v>
      </c>
      <c r="F662">
        <v>67.319999999999993</v>
      </c>
      <c r="G662" s="1" t="s">
        <v>68</v>
      </c>
      <c r="H662">
        <v>6.9699999999999998E-2</v>
      </c>
      <c r="I662" s="3">
        <f t="shared" si="10"/>
        <v>-6.5326633165829234E-2</v>
      </c>
    </row>
    <row r="663" spans="1:9" x14ac:dyDescent="0.35">
      <c r="A663" s="1" t="s">
        <v>8</v>
      </c>
      <c r="B663" s="2">
        <v>43862</v>
      </c>
      <c r="C663">
        <v>66.959999999999994</v>
      </c>
      <c r="D663">
        <v>73.08</v>
      </c>
      <c r="E663">
        <v>76.540000000000006</v>
      </c>
      <c r="F663">
        <v>63.41</v>
      </c>
      <c r="G663" s="1" t="s">
        <v>67</v>
      </c>
      <c r="H663">
        <v>-6.5299999999999997E-2</v>
      </c>
      <c r="I663" s="3">
        <f t="shared" si="10"/>
        <v>-0.13231780167264029</v>
      </c>
    </row>
    <row r="664" spans="1:9" x14ac:dyDescent="0.35">
      <c r="A664" s="1" t="s">
        <v>8</v>
      </c>
      <c r="B664" s="2">
        <v>43891</v>
      </c>
      <c r="C664">
        <v>58.1</v>
      </c>
      <c r="D664">
        <v>67.569999999999993</v>
      </c>
      <c r="E664">
        <v>70.41</v>
      </c>
      <c r="F664">
        <v>50.44</v>
      </c>
      <c r="G664" s="1" t="s">
        <v>66</v>
      </c>
      <c r="H664">
        <v>-0.13239999999999999</v>
      </c>
      <c r="I664" s="3">
        <f t="shared" si="10"/>
        <v>0.15886402753872628</v>
      </c>
    </row>
    <row r="665" spans="1:9" x14ac:dyDescent="0.35">
      <c r="A665" s="1" t="s">
        <v>8</v>
      </c>
      <c r="B665" s="2">
        <v>43922</v>
      </c>
      <c r="C665">
        <v>67.33</v>
      </c>
      <c r="D665">
        <v>56.2</v>
      </c>
      <c r="E665">
        <v>68.010000000000005</v>
      </c>
      <c r="F665">
        <v>53.75</v>
      </c>
      <c r="G665" s="1" t="s">
        <v>65</v>
      </c>
      <c r="H665">
        <v>0.159</v>
      </c>
      <c r="I665" s="3">
        <f t="shared" si="10"/>
        <v>6.4607158770236275E-2</v>
      </c>
    </row>
    <row r="666" spans="1:9" x14ac:dyDescent="0.35">
      <c r="A666" s="1" t="s">
        <v>8</v>
      </c>
      <c r="B666" s="2">
        <v>43952</v>
      </c>
      <c r="C666">
        <v>71.680000000000007</v>
      </c>
      <c r="D666">
        <v>66.2</v>
      </c>
      <c r="E666">
        <v>72.260000000000005</v>
      </c>
      <c r="F666">
        <v>64.8</v>
      </c>
      <c r="G666" s="1" t="s">
        <v>64</v>
      </c>
      <c r="H666">
        <v>6.4500000000000002E-2</v>
      </c>
      <c r="I666" s="3">
        <f t="shared" si="10"/>
        <v>-1.0881696428571444E-2</v>
      </c>
    </row>
    <row r="667" spans="1:9" x14ac:dyDescent="0.35">
      <c r="A667" s="1" t="s">
        <v>8</v>
      </c>
      <c r="B667" s="2">
        <v>43983</v>
      </c>
      <c r="C667">
        <v>70.900000000000006</v>
      </c>
      <c r="D667">
        <v>71.290000000000006</v>
      </c>
      <c r="E667">
        <v>73.790000000000006</v>
      </c>
      <c r="F667">
        <v>67.58</v>
      </c>
      <c r="G667" s="1" t="s">
        <v>63</v>
      </c>
      <c r="H667">
        <v>-1.0800000000000001E-2</v>
      </c>
      <c r="I667" s="3">
        <f t="shared" si="10"/>
        <v>4.9365303244005634E-2</v>
      </c>
    </row>
    <row r="668" spans="1:9" x14ac:dyDescent="0.35">
      <c r="A668" s="1" t="s">
        <v>8</v>
      </c>
      <c r="B668" s="2">
        <v>44013</v>
      </c>
      <c r="C668">
        <v>74.400000000000006</v>
      </c>
      <c r="D668">
        <v>70.959999999999994</v>
      </c>
      <c r="E668">
        <v>79.349999999999994</v>
      </c>
      <c r="F668">
        <v>70.709999999999994</v>
      </c>
      <c r="G668" s="1" t="s">
        <v>62</v>
      </c>
      <c r="H668">
        <v>4.9299999999999997E-2</v>
      </c>
      <c r="I668" s="3">
        <f t="shared" si="10"/>
        <v>9.5161290322580611E-2</v>
      </c>
    </row>
    <row r="669" spans="1:9" x14ac:dyDescent="0.35">
      <c r="A669" s="1" t="s">
        <v>8</v>
      </c>
      <c r="B669" s="2">
        <v>44044</v>
      </c>
      <c r="C669">
        <v>81.48</v>
      </c>
      <c r="D669">
        <v>74.55</v>
      </c>
      <c r="E669">
        <v>82.64</v>
      </c>
      <c r="F669">
        <v>73.2</v>
      </c>
      <c r="G669" s="1" t="s">
        <v>61</v>
      </c>
      <c r="H669">
        <v>9.5200000000000007E-2</v>
      </c>
      <c r="I669" s="3">
        <f t="shared" si="10"/>
        <v>-0.10063819342169861</v>
      </c>
    </row>
    <row r="670" spans="1:9" x14ac:dyDescent="0.35">
      <c r="A670" s="1" t="s">
        <v>8</v>
      </c>
      <c r="B670" s="2">
        <v>44075</v>
      </c>
      <c r="C670">
        <v>73.28</v>
      </c>
      <c r="D670">
        <v>81.61</v>
      </c>
      <c r="E670">
        <v>86.31</v>
      </c>
      <c r="F670">
        <v>70.11</v>
      </c>
      <c r="G670" s="1" t="s">
        <v>60</v>
      </c>
      <c r="H670">
        <v>-0.10059999999999999</v>
      </c>
      <c r="I670" s="3">
        <f t="shared" si="10"/>
        <v>0.10275655021834063</v>
      </c>
    </row>
    <row r="671" spans="1:9" x14ac:dyDescent="0.35">
      <c r="A671" s="1" t="s">
        <v>8</v>
      </c>
      <c r="B671" s="2">
        <v>44105</v>
      </c>
      <c r="C671">
        <v>80.81</v>
      </c>
      <c r="D671">
        <v>74.180000000000007</v>
      </c>
      <c r="E671">
        <v>84.07</v>
      </c>
      <c r="F671">
        <v>71.66</v>
      </c>
      <c r="G671" s="1" t="s">
        <v>59</v>
      </c>
      <c r="H671">
        <v>0.1027</v>
      </c>
      <c r="I671" s="3">
        <f t="shared" si="10"/>
        <v>8.5509219156044994E-2</v>
      </c>
    </row>
    <row r="672" spans="1:9" x14ac:dyDescent="0.35">
      <c r="A672" s="1" t="s">
        <v>8</v>
      </c>
      <c r="B672" s="2">
        <v>44136</v>
      </c>
      <c r="C672">
        <v>87.72</v>
      </c>
      <c r="D672">
        <v>81.180000000000007</v>
      </c>
      <c r="E672">
        <v>90.84</v>
      </c>
      <c r="F672">
        <v>80.61</v>
      </c>
      <c r="G672" s="1" t="s">
        <v>58</v>
      </c>
      <c r="H672">
        <v>8.5599999999999996E-2</v>
      </c>
      <c r="I672" s="3">
        <f t="shared" si="10"/>
        <v>-1.0259917920657023E-3</v>
      </c>
    </row>
    <row r="673" spans="1:9" x14ac:dyDescent="0.35">
      <c r="A673" s="1" t="s">
        <v>8</v>
      </c>
      <c r="B673" s="2">
        <v>44166</v>
      </c>
      <c r="C673">
        <v>87.63</v>
      </c>
      <c r="D673">
        <v>88.33</v>
      </c>
      <c r="E673">
        <v>92.19</v>
      </c>
      <c r="F673">
        <v>84.7</v>
      </c>
      <c r="G673" s="1" t="s">
        <v>57</v>
      </c>
      <c r="H673">
        <v>-1E-3</v>
      </c>
      <c r="I673" s="3">
        <f t="shared" si="10"/>
        <v>4.2679447677736043E-2</v>
      </c>
    </row>
    <row r="674" spans="1:9" x14ac:dyDescent="0.35">
      <c r="A674" s="1" t="s">
        <v>8</v>
      </c>
      <c r="B674" s="2">
        <v>44197</v>
      </c>
      <c r="C674">
        <v>91.37</v>
      </c>
      <c r="D674">
        <v>88</v>
      </c>
      <c r="E674">
        <v>96.6</v>
      </c>
      <c r="F674">
        <v>84.81</v>
      </c>
      <c r="G674" s="1" t="s">
        <v>56</v>
      </c>
      <c r="H674">
        <v>4.2599999999999999E-2</v>
      </c>
      <c r="I674" s="3">
        <f t="shared" si="10"/>
        <v>0.10649009521724843</v>
      </c>
    </row>
    <row r="675" spans="1:9" x14ac:dyDescent="0.35">
      <c r="A675" s="1" t="s">
        <v>8</v>
      </c>
      <c r="B675" s="2">
        <v>44228</v>
      </c>
      <c r="C675">
        <v>101.1</v>
      </c>
      <c r="D675">
        <v>92.23</v>
      </c>
      <c r="E675">
        <v>107.26</v>
      </c>
      <c r="F675">
        <v>92.23</v>
      </c>
      <c r="G675" s="1" t="s">
        <v>55</v>
      </c>
      <c r="H675">
        <v>0.1065</v>
      </c>
      <c r="I675" s="3">
        <f t="shared" si="10"/>
        <v>2.0079129574678549E-2</v>
      </c>
    </row>
    <row r="676" spans="1:9" x14ac:dyDescent="0.35">
      <c r="A676" s="1" t="s">
        <v>8</v>
      </c>
      <c r="B676" s="2">
        <v>44256</v>
      </c>
      <c r="C676">
        <v>103.13</v>
      </c>
      <c r="D676">
        <v>102.4</v>
      </c>
      <c r="E676">
        <v>105.69</v>
      </c>
      <c r="F676">
        <v>99.7</v>
      </c>
      <c r="G676" s="1" t="s">
        <v>54</v>
      </c>
      <c r="H676">
        <v>2.01E-2</v>
      </c>
      <c r="I676" s="3">
        <f t="shared" si="10"/>
        <v>0.14108406865121703</v>
      </c>
    </row>
    <row r="677" spans="1:9" x14ac:dyDescent="0.35">
      <c r="A677" s="1" t="s">
        <v>8</v>
      </c>
      <c r="B677" s="2">
        <v>44287</v>
      </c>
      <c r="C677">
        <v>117.68</v>
      </c>
      <c r="D677">
        <v>104.61</v>
      </c>
      <c r="E677">
        <v>121.57</v>
      </c>
      <c r="F677">
        <v>104.57</v>
      </c>
      <c r="G677" s="1" t="s">
        <v>53</v>
      </c>
      <c r="H677">
        <v>0.1411</v>
      </c>
      <c r="I677" s="3">
        <f t="shared" si="10"/>
        <v>1.3596193065941245E-3</v>
      </c>
    </row>
    <row r="678" spans="1:9" x14ac:dyDescent="0.35">
      <c r="A678" s="1" t="s">
        <v>8</v>
      </c>
      <c r="B678" s="2">
        <v>44317</v>
      </c>
      <c r="C678">
        <v>117.84</v>
      </c>
      <c r="D678">
        <v>118.25</v>
      </c>
      <c r="E678">
        <v>119.45</v>
      </c>
      <c r="F678">
        <v>109.68</v>
      </c>
      <c r="G678" s="1" t="s">
        <v>52</v>
      </c>
      <c r="H678">
        <v>1.4E-3</v>
      </c>
      <c r="I678" s="3">
        <f t="shared" si="10"/>
        <v>3.6065852002715545E-2</v>
      </c>
    </row>
    <row r="679" spans="1:9" x14ac:dyDescent="0.35">
      <c r="A679" s="1" t="s">
        <v>8</v>
      </c>
      <c r="B679" s="2">
        <v>44348</v>
      </c>
      <c r="C679">
        <v>122.09</v>
      </c>
      <c r="D679">
        <v>118.72</v>
      </c>
      <c r="E679">
        <v>123.1</v>
      </c>
      <c r="F679">
        <v>116.48</v>
      </c>
      <c r="G679" s="1" t="s">
        <v>51</v>
      </c>
      <c r="H679">
        <v>3.5999999999999997E-2</v>
      </c>
      <c r="I679" s="3">
        <f t="shared" si="10"/>
        <v>0.10353018265214174</v>
      </c>
    </row>
    <row r="680" spans="1:9" x14ac:dyDescent="0.35">
      <c r="A680" s="1" t="s">
        <v>8</v>
      </c>
      <c r="B680" s="2">
        <v>44378</v>
      </c>
      <c r="C680">
        <v>134.72999999999999</v>
      </c>
      <c r="D680">
        <v>121.72</v>
      </c>
      <c r="E680">
        <v>138.30000000000001</v>
      </c>
      <c r="F680">
        <v>121.53</v>
      </c>
      <c r="G680" s="1" t="s">
        <v>50</v>
      </c>
      <c r="H680">
        <v>0.10349999999999999</v>
      </c>
      <c r="I680" s="3">
        <f t="shared" si="10"/>
        <v>7.3999851554961776E-2</v>
      </c>
    </row>
    <row r="681" spans="1:9" x14ac:dyDescent="0.35">
      <c r="A681" s="1" t="s">
        <v>8</v>
      </c>
      <c r="B681" s="2">
        <v>44409</v>
      </c>
      <c r="C681">
        <v>144.69999999999999</v>
      </c>
      <c r="D681">
        <v>135.12</v>
      </c>
      <c r="E681">
        <v>145.97</v>
      </c>
      <c r="F681">
        <v>133.32</v>
      </c>
      <c r="G681" s="1" t="s">
        <v>49</v>
      </c>
      <c r="H681">
        <v>7.3999999999999996E-2</v>
      </c>
      <c r="I681" s="3">
        <f t="shared" si="10"/>
        <v>-7.6157567380787716E-2</v>
      </c>
    </row>
    <row r="682" spans="1:9" x14ac:dyDescent="0.35">
      <c r="A682" s="1" t="s">
        <v>8</v>
      </c>
      <c r="B682" s="2">
        <v>44440</v>
      </c>
      <c r="C682">
        <v>133.68</v>
      </c>
      <c r="D682">
        <v>145</v>
      </c>
      <c r="E682">
        <v>146.25</v>
      </c>
      <c r="F682">
        <v>133.56</v>
      </c>
      <c r="G682" s="1" t="s">
        <v>48</v>
      </c>
      <c r="H682">
        <v>-7.6200000000000004E-2</v>
      </c>
      <c r="I682" s="3">
        <f t="shared" si="10"/>
        <v>0.10749551166965891</v>
      </c>
    </row>
    <row r="683" spans="1:9" x14ac:dyDescent="0.35">
      <c r="A683" s="1" t="s">
        <v>8</v>
      </c>
      <c r="B683" s="2">
        <v>44470</v>
      </c>
      <c r="C683">
        <v>148.05000000000001</v>
      </c>
      <c r="D683">
        <v>134.44999999999999</v>
      </c>
      <c r="E683">
        <v>148.65</v>
      </c>
      <c r="F683">
        <v>131.05000000000001</v>
      </c>
      <c r="G683" s="1" t="s">
        <v>47</v>
      </c>
      <c r="H683">
        <v>0.1075</v>
      </c>
      <c r="I683" s="3">
        <f t="shared" si="10"/>
        <v>-4.1540020263424557E-2</v>
      </c>
    </row>
    <row r="684" spans="1:9" x14ac:dyDescent="0.35">
      <c r="A684" s="1" t="s">
        <v>8</v>
      </c>
      <c r="B684" s="2">
        <v>44501</v>
      </c>
      <c r="C684">
        <v>141.9</v>
      </c>
      <c r="D684">
        <v>148.05000000000001</v>
      </c>
      <c r="E684">
        <v>150.97</v>
      </c>
      <c r="F684">
        <v>141.6</v>
      </c>
      <c r="G684" s="1" t="s">
        <v>46</v>
      </c>
      <c r="H684">
        <v>-4.1500000000000002E-2</v>
      </c>
      <c r="I684" s="3">
        <f t="shared" si="10"/>
        <v>2.0789288231148614E-2</v>
      </c>
    </row>
    <row r="685" spans="1:9" x14ac:dyDescent="0.35">
      <c r="A685" s="1" t="s">
        <v>8</v>
      </c>
      <c r="B685" s="2">
        <v>44531</v>
      </c>
      <c r="C685">
        <v>144.85</v>
      </c>
      <c r="D685">
        <v>144</v>
      </c>
      <c r="E685">
        <v>149.1</v>
      </c>
      <c r="F685">
        <v>139.32</v>
      </c>
      <c r="G685" s="1" t="s">
        <v>45</v>
      </c>
      <c r="H685">
        <v>2.0799999999999999E-2</v>
      </c>
      <c r="I685" s="3">
        <f t="shared" si="10"/>
        <v>-6.5930272695892189E-2</v>
      </c>
    </row>
    <row r="686" spans="1:9" x14ac:dyDescent="0.35">
      <c r="A686" s="1" t="s">
        <v>8</v>
      </c>
      <c r="B686" s="2">
        <v>44562</v>
      </c>
      <c r="C686">
        <v>135.30000000000001</v>
      </c>
      <c r="D686">
        <v>145.05000000000001</v>
      </c>
      <c r="E686">
        <v>146.47999999999999</v>
      </c>
      <c r="F686">
        <v>124.5</v>
      </c>
      <c r="G686" s="1" t="s">
        <v>44</v>
      </c>
      <c r="H686">
        <v>-6.59E-2</v>
      </c>
      <c r="I686" s="3">
        <f t="shared" si="10"/>
        <v>-1.7738359201774506E-3</v>
      </c>
    </row>
    <row r="687" spans="1:9" x14ac:dyDescent="0.35">
      <c r="A687" s="1" t="s">
        <v>8</v>
      </c>
      <c r="B687" s="2">
        <v>44593</v>
      </c>
      <c r="C687">
        <v>135.06</v>
      </c>
      <c r="D687">
        <v>137.59</v>
      </c>
      <c r="E687">
        <v>151.55000000000001</v>
      </c>
      <c r="F687">
        <v>124.95</v>
      </c>
      <c r="G687" s="1" t="s">
        <v>43</v>
      </c>
      <c r="H687">
        <v>-1.8E-3</v>
      </c>
      <c r="I687" s="3">
        <f t="shared" si="10"/>
        <v>2.9690507922404789E-2</v>
      </c>
    </row>
    <row r="688" spans="1:9" x14ac:dyDescent="0.35">
      <c r="A688" s="1" t="s">
        <v>8</v>
      </c>
      <c r="B688" s="2">
        <v>44621</v>
      </c>
      <c r="C688">
        <v>139.07</v>
      </c>
      <c r="D688">
        <v>134.88</v>
      </c>
      <c r="E688">
        <v>143.79</v>
      </c>
      <c r="F688">
        <v>125.28</v>
      </c>
      <c r="G688" s="1" t="s">
        <v>42</v>
      </c>
      <c r="H688">
        <v>2.9700000000000001E-2</v>
      </c>
      <c r="I688" s="3">
        <f t="shared" si="10"/>
        <v>-0.17947796073919606</v>
      </c>
    </row>
    <row r="689" spans="1:9" x14ac:dyDescent="0.35">
      <c r="A689" s="1" t="s">
        <v>8</v>
      </c>
      <c r="B689" s="2">
        <v>44652</v>
      </c>
      <c r="C689">
        <v>114.11</v>
      </c>
      <c r="D689">
        <v>139.5</v>
      </c>
      <c r="E689">
        <v>143.71</v>
      </c>
      <c r="F689">
        <v>112.74</v>
      </c>
      <c r="G689" s="1" t="s">
        <v>41</v>
      </c>
      <c r="H689">
        <v>-0.17949999999999999</v>
      </c>
      <c r="I689" s="3">
        <f t="shared" si="10"/>
        <v>-3.0672158443606546E-3</v>
      </c>
    </row>
    <row r="690" spans="1:9" x14ac:dyDescent="0.35">
      <c r="A690" s="1" t="s">
        <v>8</v>
      </c>
      <c r="B690" s="2">
        <v>44682</v>
      </c>
      <c r="C690">
        <v>113.76</v>
      </c>
      <c r="D690">
        <v>113.4</v>
      </c>
      <c r="E690">
        <v>122.85</v>
      </c>
      <c r="F690">
        <v>101.88</v>
      </c>
      <c r="G690" s="1" t="s">
        <v>40</v>
      </c>
      <c r="H690">
        <v>-3.0000000000000001E-3</v>
      </c>
      <c r="I690" s="3">
        <f t="shared" si="10"/>
        <v>-4.2194092827004315E-2</v>
      </c>
    </row>
    <row r="691" spans="1:9" x14ac:dyDescent="0.35">
      <c r="A691" s="1" t="s">
        <v>8</v>
      </c>
      <c r="B691" s="2">
        <v>44713</v>
      </c>
      <c r="C691">
        <v>108.96</v>
      </c>
      <c r="D691">
        <v>114.86</v>
      </c>
      <c r="E691">
        <v>119.35</v>
      </c>
      <c r="F691">
        <v>105.05</v>
      </c>
      <c r="G691" s="1" t="s">
        <v>39</v>
      </c>
      <c r="H691">
        <v>-4.2200000000000001E-2</v>
      </c>
      <c r="I691" s="3">
        <f t="shared" si="10"/>
        <v>6.7547723935389131E-2</v>
      </c>
    </row>
    <row r="692" spans="1:9" x14ac:dyDescent="0.35">
      <c r="A692" s="1" t="s">
        <v>8</v>
      </c>
      <c r="B692" s="2">
        <v>44743</v>
      </c>
      <c r="C692">
        <v>116.32</v>
      </c>
      <c r="D692">
        <v>107.93</v>
      </c>
      <c r="E692">
        <v>119.68</v>
      </c>
      <c r="F692">
        <v>104.07</v>
      </c>
      <c r="G692" s="1" t="s">
        <v>38</v>
      </c>
      <c r="H692">
        <v>6.7500000000000004E-2</v>
      </c>
      <c r="I692" s="3">
        <f t="shared" si="10"/>
        <v>-6.9635488308115501E-2</v>
      </c>
    </row>
    <row r="693" spans="1:9" x14ac:dyDescent="0.35">
      <c r="A693" s="1" t="s">
        <v>8</v>
      </c>
      <c r="B693" s="2">
        <v>44774</v>
      </c>
      <c r="C693">
        <v>108.22</v>
      </c>
      <c r="D693">
        <v>115.3</v>
      </c>
      <c r="E693">
        <v>122.43</v>
      </c>
      <c r="F693">
        <v>107.8</v>
      </c>
      <c r="G693" s="1" t="s">
        <v>37</v>
      </c>
      <c r="H693">
        <v>-6.9599999999999995E-2</v>
      </c>
      <c r="I693" s="3">
        <f t="shared" si="10"/>
        <v>-0.11615228238772864</v>
      </c>
    </row>
    <row r="694" spans="1:9" x14ac:dyDescent="0.35">
      <c r="A694" s="1" t="s">
        <v>8</v>
      </c>
      <c r="B694" s="2">
        <v>44805</v>
      </c>
      <c r="C694">
        <v>95.65</v>
      </c>
      <c r="D694">
        <v>108.28</v>
      </c>
      <c r="E694">
        <v>111.62</v>
      </c>
      <c r="F694">
        <v>95.56</v>
      </c>
      <c r="G694" s="1" t="s">
        <v>36</v>
      </c>
      <c r="H694">
        <v>-0.1162</v>
      </c>
      <c r="I694" s="3">
        <f t="shared" si="10"/>
        <v>-1.1918452692106644E-2</v>
      </c>
    </row>
    <row r="695" spans="1:9" x14ac:dyDescent="0.35">
      <c r="A695" s="1" t="s">
        <v>8</v>
      </c>
      <c r="B695" s="2">
        <v>44835</v>
      </c>
      <c r="C695">
        <v>94.51</v>
      </c>
      <c r="D695">
        <v>96.76</v>
      </c>
      <c r="E695">
        <v>104.82</v>
      </c>
      <c r="F695">
        <v>91.8</v>
      </c>
      <c r="G695" s="1" t="s">
        <v>35</v>
      </c>
      <c r="H695">
        <v>-1.1900000000000001E-2</v>
      </c>
      <c r="I695" s="3">
        <f t="shared" si="10"/>
        <v>6.8564173103375189E-2</v>
      </c>
    </row>
    <row r="696" spans="1:9" x14ac:dyDescent="0.35">
      <c r="A696" s="1" t="s">
        <v>8</v>
      </c>
      <c r="B696" s="2">
        <v>44866</v>
      </c>
      <c r="C696">
        <v>100.99</v>
      </c>
      <c r="D696">
        <v>95.45</v>
      </c>
      <c r="E696">
        <v>101.04</v>
      </c>
      <c r="F696">
        <v>83.34</v>
      </c>
      <c r="G696" s="1" t="s">
        <v>34</v>
      </c>
      <c r="H696">
        <v>6.8599999999999994E-2</v>
      </c>
      <c r="I696" s="3">
        <f t="shared" si="10"/>
        <v>-0.12634914347955234</v>
      </c>
    </row>
    <row r="697" spans="1:9" x14ac:dyDescent="0.35">
      <c r="A697" s="1" t="s">
        <v>8</v>
      </c>
      <c r="B697" s="2">
        <v>44896</v>
      </c>
      <c r="C697">
        <v>88.23</v>
      </c>
      <c r="D697">
        <v>101.02</v>
      </c>
      <c r="E697">
        <v>102.25</v>
      </c>
      <c r="F697">
        <v>85.94</v>
      </c>
      <c r="G697" s="1" t="s">
        <v>33</v>
      </c>
      <c r="H697">
        <v>-0.1263</v>
      </c>
      <c r="I697" s="3">
        <f t="shared" si="10"/>
        <v>0.12025388189958063</v>
      </c>
    </row>
    <row r="698" spans="1:9" x14ac:dyDescent="0.35">
      <c r="A698" s="1" t="s">
        <v>8</v>
      </c>
      <c r="B698" s="2">
        <v>44927</v>
      </c>
      <c r="C698">
        <v>98.84</v>
      </c>
      <c r="D698">
        <v>89.58</v>
      </c>
      <c r="E698">
        <v>100.32</v>
      </c>
      <c r="F698">
        <v>84.86</v>
      </c>
      <c r="G698" s="1" t="s">
        <v>32</v>
      </c>
      <c r="H698">
        <v>0.1203</v>
      </c>
      <c r="I698" s="3">
        <f t="shared" si="10"/>
        <v>-8.883043302306759E-2</v>
      </c>
    </row>
    <row r="699" spans="1:9" x14ac:dyDescent="0.35">
      <c r="A699" s="1" t="s">
        <v>8</v>
      </c>
      <c r="B699" s="2">
        <v>44958</v>
      </c>
      <c r="C699">
        <v>90.06</v>
      </c>
      <c r="D699">
        <v>98.71</v>
      </c>
      <c r="E699">
        <v>108.18</v>
      </c>
      <c r="F699">
        <v>88.57</v>
      </c>
      <c r="G699" s="1" t="s">
        <v>31</v>
      </c>
      <c r="H699">
        <v>-8.8800000000000004E-2</v>
      </c>
      <c r="I699" s="3">
        <f t="shared" si="10"/>
        <v>0.15178769709082834</v>
      </c>
    </row>
    <row r="700" spans="1:9" x14ac:dyDescent="0.35">
      <c r="A700" s="1" t="s">
        <v>8</v>
      </c>
      <c r="B700" s="2">
        <v>44986</v>
      </c>
      <c r="C700">
        <v>103.73</v>
      </c>
      <c r="D700">
        <v>89.98</v>
      </c>
      <c r="E700">
        <v>106.59</v>
      </c>
      <c r="F700">
        <v>89.42</v>
      </c>
      <c r="G700" s="1" t="s">
        <v>30</v>
      </c>
      <c r="H700">
        <v>0.15179999999999999</v>
      </c>
      <c r="I700" s="3">
        <f t="shared" si="10"/>
        <v>3.4801889520871487E-2</v>
      </c>
    </row>
    <row r="701" spans="1:9" x14ac:dyDescent="0.35">
      <c r="A701" s="1" t="s">
        <v>8</v>
      </c>
      <c r="B701" s="2">
        <v>45017</v>
      </c>
      <c r="C701">
        <v>107.34</v>
      </c>
      <c r="D701">
        <v>102.39</v>
      </c>
      <c r="E701">
        <v>109.17</v>
      </c>
      <c r="F701">
        <v>101.93</v>
      </c>
      <c r="G701" s="1" t="s">
        <v>29</v>
      </c>
      <c r="H701">
        <v>3.4799999999999998E-2</v>
      </c>
      <c r="I701" s="3">
        <f t="shared" si="10"/>
        <v>0.1446804546301472</v>
      </c>
    </row>
    <row r="702" spans="1:9" x14ac:dyDescent="0.35">
      <c r="A702" s="1" t="s">
        <v>8</v>
      </c>
      <c r="B702" s="2">
        <v>45047</v>
      </c>
      <c r="C702">
        <v>122.87</v>
      </c>
      <c r="D702">
        <v>106.84</v>
      </c>
      <c r="E702">
        <v>126.43</v>
      </c>
      <c r="F702">
        <v>103.71</v>
      </c>
      <c r="G702" s="1" t="s">
        <v>28</v>
      </c>
      <c r="H702">
        <v>0.1447</v>
      </c>
      <c r="I702" s="3">
        <f t="shared" si="10"/>
        <v>-2.5799625620574605E-2</v>
      </c>
    </row>
    <row r="703" spans="1:9" x14ac:dyDescent="0.35">
      <c r="A703" s="1" t="s">
        <v>8</v>
      </c>
      <c r="B703" s="2">
        <v>45078</v>
      </c>
      <c r="C703">
        <v>119.7</v>
      </c>
      <c r="D703">
        <v>122.82</v>
      </c>
      <c r="E703">
        <v>129.04</v>
      </c>
      <c r="F703">
        <v>116.1</v>
      </c>
      <c r="G703" s="1" t="s">
        <v>27</v>
      </c>
      <c r="H703">
        <v>-2.58E-2</v>
      </c>
      <c r="I703" s="3">
        <f t="shared" si="10"/>
        <v>0.10877192982456137</v>
      </c>
    </row>
    <row r="704" spans="1:9" x14ac:dyDescent="0.35">
      <c r="A704" s="1" t="s">
        <v>8</v>
      </c>
      <c r="B704" s="2">
        <v>45108</v>
      </c>
      <c r="C704">
        <v>132.72</v>
      </c>
      <c r="D704">
        <v>119.24</v>
      </c>
      <c r="E704">
        <v>133.74</v>
      </c>
      <c r="F704">
        <v>115.35</v>
      </c>
      <c r="G704" s="1" t="s">
        <v>26</v>
      </c>
      <c r="H704">
        <v>0.10879999999999999</v>
      </c>
      <c r="I704" s="3">
        <f t="shared" si="10"/>
        <v>2.5994575045207871E-2</v>
      </c>
    </row>
    <row r="705" spans="1:9" x14ac:dyDescent="0.35">
      <c r="A705" s="1" t="s">
        <v>8</v>
      </c>
      <c r="B705" s="2">
        <v>45139</v>
      </c>
      <c r="C705">
        <v>136.16999999999999</v>
      </c>
      <c r="D705">
        <v>130.77000000000001</v>
      </c>
      <c r="E705">
        <v>138</v>
      </c>
      <c r="F705">
        <v>126.38</v>
      </c>
      <c r="G705" s="1" t="s">
        <v>25</v>
      </c>
      <c r="H705">
        <v>2.5999999999999999E-2</v>
      </c>
      <c r="I705" s="3">
        <f t="shared" si="10"/>
        <v>-3.8995373430270798E-2</v>
      </c>
    </row>
    <row r="706" spans="1:9" x14ac:dyDescent="0.35">
      <c r="A706" s="1" t="s">
        <v>8</v>
      </c>
      <c r="B706" s="2">
        <v>45170</v>
      </c>
      <c r="C706">
        <v>130.86000000000001</v>
      </c>
      <c r="D706">
        <v>137.46</v>
      </c>
      <c r="E706">
        <v>139.16</v>
      </c>
      <c r="F706">
        <v>127.22</v>
      </c>
      <c r="G706" s="1" t="s">
        <v>24</v>
      </c>
      <c r="H706">
        <v>-3.9E-2</v>
      </c>
      <c r="I706" s="3">
        <f t="shared" ref="I706:I769" si="11">IF(A707=A706, (C707-C706)/C706, 0)</f>
        <v>-5.1811095827602127E-2</v>
      </c>
    </row>
    <row r="707" spans="1:9" x14ac:dyDescent="0.35">
      <c r="A707" s="1" t="s">
        <v>8</v>
      </c>
      <c r="B707" s="2">
        <v>45200</v>
      </c>
      <c r="C707">
        <v>124.08</v>
      </c>
      <c r="D707">
        <v>131.21</v>
      </c>
      <c r="E707">
        <v>141.22</v>
      </c>
      <c r="F707">
        <v>120.21</v>
      </c>
      <c r="G707" s="1" t="s">
        <v>23</v>
      </c>
      <c r="H707">
        <v>-5.1799999999999999E-2</v>
      </c>
      <c r="I707" s="3">
        <f t="shared" si="11"/>
        <v>6.8101225016118663E-2</v>
      </c>
    </row>
    <row r="708" spans="1:9" x14ac:dyDescent="0.35">
      <c r="A708" s="1" t="s">
        <v>8</v>
      </c>
      <c r="B708" s="2">
        <v>45231</v>
      </c>
      <c r="C708">
        <v>132.53</v>
      </c>
      <c r="D708">
        <v>124.07</v>
      </c>
      <c r="E708">
        <v>139.41999999999999</v>
      </c>
      <c r="F708">
        <v>123.71</v>
      </c>
      <c r="G708" s="1" t="s">
        <v>22</v>
      </c>
      <c r="H708">
        <v>6.8099999999999994E-2</v>
      </c>
      <c r="I708" s="3">
        <f t="shared" si="11"/>
        <v>5.4025503659548758E-2</v>
      </c>
    </row>
    <row r="709" spans="1:9" x14ac:dyDescent="0.35">
      <c r="A709" s="1" t="s">
        <v>8</v>
      </c>
      <c r="B709" s="2">
        <v>45261</v>
      </c>
      <c r="C709">
        <v>139.69</v>
      </c>
      <c r="D709">
        <v>131.86000000000001</v>
      </c>
      <c r="E709">
        <v>142.68</v>
      </c>
      <c r="F709">
        <v>127.9</v>
      </c>
      <c r="G709" s="1" t="s">
        <v>21</v>
      </c>
      <c r="H709">
        <v>5.3999999999999999E-2</v>
      </c>
      <c r="I709" s="3">
        <f t="shared" si="11"/>
        <v>2.9350705132793801E-3</v>
      </c>
    </row>
    <row r="710" spans="1:9" x14ac:dyDescent="0.35">
      <c r="A710" s="1" t="s">
        <v>8</v>
      </c>
      <c r="B710" s="2">
        <v>45292</v>
      </c>
      <c r="C710">
        <v>140.1</v>
      </c>
      <c r="D710">
        <v>138.55000000000001</v>
      </c>
      <c r="E710">
        <v>153.78</v>
      </c>
      <c r="F710">
        <v>135.15</v>
      </c>
      <c r="G710" s="1" t="s">
        <v>20</v>
      </c>
      <c r="H710">
        <v>2.8999999999999998E-3</v>
      </c>
      <c r="I710" s="3">
        <f t="shared" si="11"/>
        <v>-1.170592433975722E-2</v>
      </c>
    </row>
    <row r="711" spans="1:9" x14ac:dyDescent="0.35">
      <c r="A711" s="1" t="s">
        <v>8</v>
      </c>
      <c r="B711" s="2">
        <v>45323</v>
      </c>
      <c r="C711">
        <v>138.46</v>
      </c>
      <c r="D711">
        <v>142.12</v>
      </c>
      <c r="E711">
        <v>149.44</v>
      </c>
      <c r="F711">
        <v>135.41</v>
      </c>
      <c r="G711" s="1" t="s">
        <v>19</v>
      </c>
      <c r="H711">
        <v>-1.17E-2</v>
      </c>
      <c r="I711" s="3">
        <f t="shared" si="11"/>
        <v>9.0062111801242226E-2</v>
      </c>
    </row>
    <row r="712" spans="1:9" x14ac:dyDescent="0.35">
      <c r="A712" s="1" t="s">
        <v>8</v>
      </c>
      <c r="B712" s="2">
        <v>45352</v>
      </c>
      <c r="C712">
        <v>150.93</v>
      </c>
      <c r="D712">
        <v>138.43</v>
      </c>
      <c r="E712">
        <v>152.26</v>
      </c>
      <c r="F712">
        <v>130.66</v>
      </c>
      <c r="G712" s="1" t="s">
        <v>18</v>
      </c>
      <c r="H712">
        <v>9.01E-2</v>
      </c>
      <c r="I712" s="3">
        <f t="shared" si="11"/>
        <v>7.8513218048101727E-2</v>
      </c>
    </row>
    <row r="713" spans="1:9" x14ac:dyDescent="0.35">
      <c r="A713" s="1" t="s">
        <v>8</v>
      </c>
      <c r="B713" s="2">
        <v>45383</v>
      </c>
      <c r="C713">
        <v>162.78</v>
      </c>
      <c r="D713">
        <v>150.69</v>
      </c>
      <c r="E713">
        <v>174.71</v>
      </c>
      <c r="F713">
        <v>149.6</v>
      </c>
      <c r="G713" s="1" t="s">
        <v>17</v>
      </c>
      <c r="H713">
        <v>7.85E-2</v>
      </c>
      <c r="I713" s="3">
        <f t="shared" si="11"/>
        <v>5.9712495392554361E-2</v>
      </c>
    </row>
    <row r="714" spans="1:9" x14ac:dyDescent="0.35">
      <c r="A714" s="1" t="s">
        <v>8</v>
      </c>
      <c r="B714" s="2">
        <v>45413</v>
      </c>
      <c r="C714">
        <v>172.5</v>
      </c>
      <c r="D714">
        <v>164.3</v>
      </c>
      <c r="E714">
        <v>178.77</v>
      </c>
      <c r="F714">
        <v>163.05000000000001</v>
      </c>
      <c r="G714" s="1" t="s">
        <v>16</v>
      </c>
      <c r="H714">
        <v>5.9700000000000003E-2</v>
      </c>
      <c r="I714" s="3">
        <f t="shared" si="11"/>
        <v>5.5942028985507278E-2</v>
      </c>
    </row>
    <row r="715" spans="1:9" x14ac:dyDescent="0.35">
      <c r="A715" s="1" t="s">
        <v>8</v>
      </c>
      <c r="B715" s="2">
        <v>45444</v>
      </c>
      <c r="C715">
        <v>182.15</v>
      </c>
      <c r="D715">
        <v>172.54</v>
      </c>
      <c r="E715">
        <v>186.05</v>
      </c>
      <c r="F715">
        <v>171.16</v>
      </c>
      <c r="G715" s="1" t="s">
        <v>15</v>
      </c>
      <c r="H715">
        <v>5.5899999999999998E-2</v>
      </c>
      <c r="I715" s="3">
        <f t="shared" si="11"/>
        <v>-5.8248696129563619E-2</v>
      </c>
    </row>
    <row r="716" spans="1:9" x14ac:dyDescent="0.35">
      <c r="A716" s="1" t="s">
        <v>8</v>
      </c>
      <c r="B716" s="2">
        <v>45474</v>
      </c>
      <c r="C716">
        <v>171.54</v>
      </c>
      <c r="D716">
        <v>183.03</v>
      </c>
      <c r="E716">
        <v>191.75</v>
      </c>
      <c r="F716">
        <v>164.06</v>
      </c>
      <c r="G716" s="1" t="s">
        <v>14</v>
      </c>
      <c r="H716">
        <v>-5.8200000000000002E-2</v>
      </c>
      <c r="I716" s="3">
        <f t="shared" si="11"/>
        <v>-4.7569080097936325E-2</v>
      </c>
    </row>
    <row r="717" spans="1:9" x14ac:dyDescent="0.35">
      <c r="A717" s="1" t="s">
        <v>8</v>
      </c>
      <c r="B717" s="2">
        <v>45505</v>
      </c>
      <c r="C717">
        <v>163.38</v>
      </c>
      <c r="D717">
        <v>170.25</v>
      </c>
      <c r="E717">
        <v>174.05</v>
      </c>
      <c r="F717">
        <v>154.93</v>
      </c>
      <c r="G717" s="1" t="s">
        <v>13</v>
      </c>
      <c r="H717">
        <v>-4.7600000000000003E-2</v>
      </c>
      <c r="I717" s="3">
        <f t="shared" si="11"/>
        <v>1.5118129514016396E-2</v>
      </c>
    </row>
    <row r="718" spans="1:9" x14ac:dyDescent="0.35">
      <c r="A718" s="1" t="s">
        <v>8</v>
      </c>
      <c r="B718" s="2">
        <v>45536</v>
      </c>
      <c r="C718">
        <v>165.85</v>
      </c>
      <c r="D718">
        <v>161.72</v>
      </c>
      <c r="E718">
        <v>166.15</v>
      </c>
      <c r="F718">
        <v>147.21</v>
      </c>
      <c r="G718" s="1" t="s">
        <v>12</v>
      </c>
      <c r="H718">
        <v>1.5100000000000001E-2</v>
      </c>
      <c r="I718" s="3">
        <f t="shared" si="11"/>
        <v>3.171540548688586E-2</v>
      </c>
    </row>
    <row r="719" spans="1:9" x14ac:dyDescent="0.35">
      <c r="A719" s="1" t="s">
        <v>8</v>
      </c>
      <c r="B719" s="2">
        <v>45566</v>
      </c>
      <c r="C719">
        <v>171.11</v>
      </c>
      <c r="D719">
        <v>167.68</v>
      </c>
      <c r="E719">
        <v>182.02</v>
      </c>
      <c r="F719">
        <v>159.74</v>
      </c>
      <c r="G719" s="1" t="s">
        <v>11</v>
      </c>
      <c r="H719">
        <v>3.1699999999999999E-2</v>
      </c>
      <c r="I719" s="3">
        <f t="shared" si="11"/>
        <v>-1.2623458593887119E-2</v>
      </c>
    </row>
    <row r="720" spans="1:9" x14ac:dyDescent="0.35">
      <c r="A720" s="1" t="s">
        <v>8</v>
      </c>
      <c r="B720" s="2">
        <v>45597</v>
      </c>
      <c r="C720">
        <v>168.95</v>
      </c>
      <c r="D720">
        <v>170.07</v>
      </c>
      <c r="E720">
        <v>182.49</v>
      </c>
      <c r="F720">
        <v>163.69999999999999</v>
      </c>
      <c r="G720" s="1" t="s">
        <v>10</v>
      </c>
      <c r="H720">
        <v>-1.26E-2</v>
      </c>
      <c r="I720" s="3">
        <f t="shared" si="11"/>
        <v>0.12044983722994983</v>
      </c>
    </row>
    <row r="721" spans="1:9" x14ac:dyDescent="0.35">
      <c r="A721" s="1" t="s">
        <v>8</v>
      </c>
      <c r="B721" s="2">
        <v>45627</v>
      </c>
      <c r="C721">
        <v>189.3</v>
      </c>
      <c r="D721">
        <v>168.76</v>
      </c>
      <c r="E721">
        <v>201.42</v>
      </c>
      <c r="F721">
        <v>168.57</v>
      </c>
      <c r="G721" s="1" t="s">
        <v>9</v>
      </c>
      <c r="H721">
        <v>0.12039999999999999</v>
      </c>
      <c r="I721" s="3">
        <f t="shared" si="11"/>
        <v>0</v>
      </c>
    </row>
    <row r="722" spans="1:9" x14ac:dyDescent="0.35">
      <c r="A722" s="1" t="s">
        <v>521</v>
      </c>
      <c r="B722" s="2">
        <v>41061</v>
      </c>
      <c r="C722">
        <v>31.09</v>
      </c>
      <c r="D722">
        <v>28.89</v>
      </c>
      <c r="E722">
        <v>33.450000000000003</v>
      </c>
      <c r="F722">
        <v>25.52</v>
      </c>
      <c r="G722" s="1" t="s">
        <v>651</v>
      </c>
      <c r="H722">
        <v>5.0500000000000003E-2</v>
      </c>
      <c r="I722" s="3">
        <f t="shared" si="11"/>
        <v>-0.30170472820842714</v>
      </c>
    </row>
    <row r="723" spans="1:9" x14ac:dyDescent="0.35">
      <c r="A723" s="1" t="s">
        <v>521</v>
      </c>
      <c r="B723" s="2">
        <v>41091</v>
      </c>
      <c r="C723">
        <v>21.71</v>
      </c>
      <c r="D723">
        <v>31.25</v>
      </c>
      <c r="E723">
        <v>32.880000000000003</v>
      </c>
      <c r="F723">
        <v>21.61</v>
      </c>
      <c r="G723" s="1" t="s">
        <v>650</v>
      </c>
      <c r="H723">
        <v>-0.30180000000000001</v>
      </c>
      <c r="I723" s="3">
        <f t="shared" si="11"/>
        <v>-0.16812528788576703</v>
      </c>
    </row>
    <row r="724" spans="1:9" x14ac:dyDescent="0.35">
      <c r="A724" s="1" t="s">
        <v>521</v>
      </c>
      <c r="B724" s="2">
        <v>41122</v>
      </c>
      <c r="C724">
        <v>18.059999999999999</v>
      </c>
      <c r="D724">
        <v>21.5</v>
      </c>
      <c r="E724">
        <v>22.45</v>
      </c>
      <c r="F724">
        <v>18.03</v>
      </c>
      <c r="G724" s="1" t="s">
        <v>371</v>
      </c>
      <c r="H724">
        <v>-0.16819999999999999</v>
      </c>
      <c r="I724" s="3">
        <f t="shared" si="11"/>
        <v>0.19933554817275756</v>
      </c>
    </row>
    <row r="725" spans="1:9" x14ac:dyDescent="0.35">
      <c r="A725" s="1" t="s">
        <v>521</v>
      </c>
      <c r="B725" s="2">
        <v>41153</v>
      </c>
      <c r="C725">
        <v>21.66</v>
      </c>
      <c r="D725">
        <v>18.079999999999998</v>
      </c>
      <c r="E725">
        <v>23.37</v>
      </c>
      <c r="F725">
        <v>17.55</v>
      </c>
      <c r="G725" s="1" t="s">
        <v>127</v>
      </c>
      <c r="H725">
        <v>0.19950000000000001</v>
      </c>
      <c r="I725" s="3">
        <f t="shared" si="11"/>
        <v>-2.5392428439519884E-2</v>
      </c>
    </row>
    <row r="726" spans="1:9" x14ac:dyDescent="0.35">
      <c r="A726" s="1" t="s">
        <v>521</v>
      </c>
      <c r="B726" s="2">
        <v>41183</v>
      </c>
      <c r="C726">
        <v>21.11</v>
      </c>
      <c r="D726">
        <v>22.08</v>
      </c>
      <c r="E726">
        <v>24.25</v>
      </c>
      <c r="F726">
        <v>18.8</v>
      </c>
      <c r="G726" s="1" t="s">
        <v>159</v>
      </c>
      <c r="H726">
        <v>-2.5399999999999999E-2</v>
      </c>
      <c r="I726" s="3">
        <f t="shared" si="11"/>
        <v>0.32638559924206539</v>
      </c>
    </row>
    <row r="727" spans="1:9" x14ac:dyDescent="0.35">
      <c r="A727" s="1" t="s">
        <v>521</v>
      </c>
      <c r="B727" s="2">
        <v>41214</v>
      </c>
      <c r="C727">
        <v>28</v>
      </c>
      <c r="D727">
        <v>21.08</v>
      </c>
      <c r="E727">
        <v>28</v>
      </c>
      <c r="F727">
        <v>18.87</v>
      </c>
      <c r="G727" s="1" t="s">
        <v>248</v>
      </c>
      <c r="H727">
        <v>0.32640000000000002</v>
      </c>
      <c r="I727" s="3">
        <f t="shared" si="11"/>
        <v>-4.9285714285714252E-2</v>
      </c>
    </row>
    <row r="728" spans="1:9" x14ac:dyDescent="0.35">
      <c r="A728" s="1" t="s">
        <v>521</v>
      </c>
      <c r="B728" s="2">
        <v>41244</v>
      </c>
      <c r="C728">
        <v>26.62</v>
      </c>
      <c r="D728">
        <v>28</v>
      </c>
      <c r="E728">
        <v>28.88</v>
      </c>
      <c r="F728">
        <v>25.15</v>
      </c>
      <c r="G728" s="1" t="s">
        <v>280</v>
      </c>
      <c r="H728">
        <v>-4.9299999999999997E-2</v>
      </c>
      <c r="I728" s="3">
        <f t="shared" si="11"/>
        <v>0.16378662659654392</v>
      </c>
    </row>
    <row r="729" spans="1:9" x14ac:dyDescent="0.35">
      <c r="A729" s="1" t="s">
        <v>521</v>
      </c>
      <c r="B729" s="2">
        <v>41275</v>
      </c>
      <c r="C729">
        <v>30.98</v>
      </c>
      <c r="D729">
        <v>27.44</v>
      </c>
      <c r="E729">
        <v>32.51</v>
      </c>
      <c r="F729">
        <v>27.42</v>
      </c>
      <c r="G729" s="1" t="s">
        <v>172</v>
      </c>
      <c r="H729">
        <v>0.1638</v>
      </c>
      <c r="I729" s="3">
        <f t="shared" si="11"/>
        <v>-0.12040025823111686</v>
      </c>
    </row>
    <row r="730" spans="1:9" x14ac:dyDescent="0.35">
      <c r="A730" s="1" t="s">
        <v>521</v>
      </c>
      <c r="B730" s="2">
        <v>41306</v>
      </c>
      <c r="C730">
        <v>27.25</v>
      </c>
      <c r="D730">
        <v>31.01</v>
      </c>
      <c r="E730">
        <v>31.02</v>
      </c>
      <c r="F730">
        <v>26.34</v>
      </c>
      <c r="G730" s="1" t="s">
        <v>649</v>
      </c>
      <c r="H730">
        <v>-0.12039999999999999</v>
      </c>
      <c r="I730" s="3">
        <f t="shared" si="11"/>
        <v>-6.1284403669724832E-2</v>
      </c>
    </row>
    <row r="731" spans="1:9" x14ac:dyDescent="0.35">
      <c r="A731" s="1" t="s">
        <v>521</v>
      </c>
      <c r="B731" s="2">
        <v>41334</v>
      </c>
      <c r="C731">
        <v>25.58</v>
      </c>
      <c r="D731">
        <v>27.05</v>
      </c>
      <c r="E731">
        <v>28.67</v>
      </c>
      <c r="F731">
        <v>24.72</v>
      </c>
      <c r="G731" s="1" t="s">
        <v>648</v>
      </c>
      <c r="H731">
        <v>-6.13E-2</v>
      </c>
      <c r="I731" s="3">
        <f t="shared" si="11"/>
        <v>8.5613760750586451E-2</v>
      </c>
    </row>
    <row r="732" spans="1:9" x14ac:dyDescent="0.35">
      <c r="A732" s="1" t="s">
        <v>521</v>
      </c>
      <c r="B732" s="2">
        <v>41365</v>
      </c>
      <c r="C732">
        <v>27.77</v>
      </c>
      <c r="D732">
        <v>25.63</v>
      </c>
      <c r="E732">
        <v>28.1</v>
      </c>
      <c r="F732">
        <v>25.15</v>
      </c>
      <c r="G732" s="1" t="s">
        <v>647</v>
      </c>
      <c r="H732">
        <v>8.5599999999999996E-2</v>
      </c>
      <c r="I732" s="3">
        <f t="shared" si="11"/>
        <v>-0.12315448325531142</v>
      </c>
    </row>
    <row r="733" spans="1:9" x14ac:dyDescent="0.35">
      <c r="A733" s="1" t="s">
        <v>521</v>
      </c>
      <c r="B733" s="2">
        <v>41395</v>
      </c>
      <c r="C733">
        <v>24.35</v>
      </c>
      <c r="D733">
        <v>27.85</v>
      </c>
      <c r="E733">
        <v>29.07</v>
      </c>
      <c r="F733">
        <v>23.26</v>
      </c>
      <c r="G733" s="1" t="s">
        <v>646</v>
      </c>
      <c r="H733">
        <v>-0.1232</v>
      </c>
      <c r="I733" s="3">
        <f t="shared" si="11"/>
        <v>2.1765913757700105E-2</v>
      </c>
    </row>
    <row r="734" spans="1:9" x14ac:dyDescent="0.35">
      <c r="A734" s="1" t="s">
        <v>521</v>
      </c>
      <c r="B734" s="2">
        <v>41426</v>
      </c>
      <c r="C734">
        <v>24.88</v>
      </c>
      <c r="D734">
        <v>24.26</v>
      </c>
      <c r="E734">
        <v>25.19</v>
      </c>
      <c r="F734">
        <v>22.67</v>
      </c>
      <c r="G734" s="1" t="s">
        <v>645</v>
      </c>
      <c r="H734">
        <v>2.18E-2</v>
      </c>
      <c r="I734" s="3">
        <f t="shared" si="11"/>
        <v>0.47909967845659157</v>
      </c>
    </row>
    <row r="735" spans="1:9" x14ac:dyDescent="0.35">
      <c r="A735" s="1" t="s">
        <v>521</v>
      </c>
      <c r="B735" s="2">
        <v>41456</v>
      </c>
      <c r="C735">
        <v>36.799999999999997</v>
      </c>
      <c r="D735">
        <v>24.97</v>
      </c>
      <c r="E735">
        <v>38.31</v>
      </c>
      <c r="F735">
        <v>24.15</v>
      </c>
      <c r="G735" s="1" t="s">
        <v>150</v>
      </c>
      <c r="H735">
        <v>0.47910000000000003</v>
      </c>
      <c r="I735" s="3">
        <f t="shared" si="11"/>
        <v>0.12201086956521745</v>
      </c>
    </row>
    <row r="736" spans="1:9" x14ac:dyDescent="0.35">
      <c r="A736" s="1" t="s">
        <v>521</v>
      </c>
      <c r="B736" s="2">
        <v>41487</v>
      </c>
      <c r="C736">
        <v>41.29</v>
      </c>
      <c r="D736">
        <v>37.299999999999997</v>
      </c>
      <c r="E736">
        <v>42.26</v>
      </c>
      <c r="F736">
        <v>36.020000000000003</v>
      </c>
      <c r="G736" s="1" t="s">
        <v>115</v>
      </c>
      <c r="H736">
        <v>0.1221</v>
      </c>
      <c r="I736" s="3">
        <f t="shared" si="11"/>
        <v>0.21651731654153544</v>
      </c>
    </row>
    <row r="737" spans="1:9" x14ac:dyDescent="0.35">
      <c r="A737" s="1" t="s">
        <v>521</v>
      </c>
      <c r="B737" s="2">
        <v>41518</v>
      </c>
      <c r="C737">
        <v>50.23</v>
      </c>
      <c r="D737">
        <v>41.84</v>
      </c>
      <c r="E737">
        <v>51.6</v>
      </c>
      <c r="F737">
        <v>41.44</v>
      </c>
      <c r="G737" s="1" t="s">
        <v>281</v>
      </c>
      <c r="H737">
        <v>0.21640000000000001</v>
      </c>
      <c r="I737" s="3">
        <f t="shared" si="11"/>
        <v>-3.9816842524379895E-4</v>
      </c>
    </row>
    <row r="738" spans="1:9" x14ac:dyDescent="0.35">
      <c r="A738" s="1" t="s">
        <v>521</v>
      </c>
      <c r="B738" s="2">
        <v>41548</v>
      </c>
      <c r="C738">
        <v>50.21</v>
      </c>
      <c r="D738">
        <v>49.97</v>
      </c>
      <c r="E738">
        <v>54.83</v>
      </c>
      <c r="F738">
        <v>45.26</v>
      </c>
      <c r="G738" s="1" t="s">
        <v>644</v>
      </c>
      <c r="H738">
        <v>-5.0000000000000001E-4</v>
      </c>
      <c r="I738" s="3">
        <f t="shared" si="11"/>
        <v>-6.373232423819962E-2</v>
      </c>
    </row>
    <row r="739" spans="1:9" x14ac:dyDescent="0.35">
      <c r="A739" s="1" t="s">
        <v>521</v>
      </c>
      <c r="B739" s="2">
        <v>41579</v>
      </c>
      <c r="C739">
        <v>47.01</v>
      </c>
      <c r="D739">
        <v>50.85</v>
      </c>
      <c r="E739">
        <v>52.09</v>
      </c>
      <c r="F739">
        <v>43.55</v>
      </c>
      <c r="G739" s="1" t="s">
        <v>243</v>
      </c>
      <c r="H739">
        <v>-6.3600000000000004E-2</v>
      </c>
      <c r="I739" s="3">
        <f t="shared" si="11"/>
        <v>0.16251861306105087</v>
      </c>
    </row>
    <row r="740" spans="1:9" x14ac:dyDescent="0.35">
      <c r="A740" s="1" t="s">
        <v>521</v>
      </c>
      <c r="B740" s="2">
        <v>41609</v>
      </c>
      <c r="C740">
        <v>54.65</v>
      </c>
      <c r="D740">
        <v>46.9</v>
      </c>
      <c r="E740">
        <v>58.58</v>
      </c>
      <c r="F740">
        <v>46.26</v>
      </c>
      <c r="G740" s="1" t="s">
        <v>244</v>
      </c>
      <c r="H740">
        <v>0.16250000000000001</v>
      </c>
      <c r="I740" s="3">
        <f t="shared" si="11"/>
        <v>0.14492223238792318</v>
      </c>
    </row>
    <row r="741" spans="1:9" x14ac:dyDescent="0.35">
      <c r="A741" s="1" t="s">
        <v>521</v>
      </c>
      <c r="B741" s="2">
        <v>41640</v>
      </c>
      <c r="C741">
        <v>62.57</v>
      </c>
      <c r="D741">
        <v>54.83</v>
      </c>
      <c r="E741">
        <v>63.37</v>
      </c>
      <c r="F741">
        <v>51.85</v>
      </c>
      <c r="G741" s="1" t="s">
        <v>373</v>
      </c>
      <c r="H741">
        <v>0.1449</v>
      </c>
      <c r="I741" s="3">
        <f t="shared" si="11"/>
        <v>9.4134569282403602E-2</v>
      </c>
    </row>
    <row r="742" spans="1:9" x14ac:dyDescent="0.35">
      <c r="A742" s="1" t="s">
        <v>521</v>
      </c>
      <c r="B742" s="2">
        <v>41671</v>
      </c>
      <c r="C742">
        <v>68.459999999999994</v>
      </c>
      <c r="D742">
        <v>63.03</v>
      </c>
      <c r="E742">
        <v>71.44</v>
      </c>
      <c r="F742">
        <v>60.7</v>
      </c>
      <c r="G742" s="1" t="s">
        <v>65</v>
      </c>
      <c r="H742">
        <v>9.4100000000000003E-2</v>
      </c>
      <c r="I742" s="3">
        <f t="shared" si="11"/>
        <v>-0.1200701139351445</v>
      </c>
    </row>
    <row r="743" spans="1:9" x14ac:dyDescent="0.35">
      <c r="A743" s="1" t="s">
        <v>521</v>
      </c>
      <c r="B743" s="2">
        <v>41699</v>
      </c>
      <c r="C743">
        <v>60.24</v>
      </c>
      <c r="D743">
        <v>66.959999999999994</v>
      </c>
      <c r="E743">
        <v>72.59</v>
      </c>
      <c r="F743">
        <v>57.98</v>
      </c>
      <c r="G743" s="1" t="s">
        <v>252</v>
      </c>
      <c r="H743">
        <v>-0.1201</v>
      </c>
      <c r="I743" s="3">
        <f t="shared" si="11"/>
        <v>-7.6361221779548613E-3</v>
      </c>
    </row>
    <row r="744" spans="1:9" x14ac:dyDescent="0.35">
      <c r="A744" s="1" t="s">
        <v>521</v>
      </c>
      <c r="B744" s="2">
        <v>41730</v>
      </c>
      <c r="C744">
        <v>59.78</v>
      </c>
      <c r="D744">
        <v>60.46</v>
      </c>
      <c r="E744">
        <v>63.91</v>
      </c>
      <c r="F744">
        <v>54.66</v>
      </c>
      <c r="G744" s="1" t="s">
        <v>189</v>
      </c>
      <c r="H744">
        <v>-7.6E-3</v>
      </c>
      <c r="I744" s="3">
        <f t="shared" si="11"/>
        <v>5.8882569421211041E-2</v>
      </c>
    </row>
    <row r="745" spans="1:9" x14ac:dyDescent="0.35">
      <c r="A745" s="1" t="s">
        <v>521</v>
      </c>
      <c r="B745" s="2">
        <v>41760</v>
      </c>
      <c r="C745">
        <v>63.3</v>
      </c>
      <c r="D745">
        <v>60.43</v>
      </c>
      <c r="E745">
        <v>64.3</v>
      </c>
      <c r="F745">
        <v>56.26</v>
      </c>
      <c r="G745" s="1" t="s">
        <v>65</v>
      </c>
      <c r="H745">
        <v>5.8900000000000001E-2</v>
      </c>
      <c r="I745" s="3">
        <f t="shared" si="11"/>
        <v>6.3033175355450388E-2</v>
      </c>
    </row>
    <row r="746" spans="1:9" x14ac:dyDescent="0.35">
      <c r="A746" s="1" t="s">
        <v>521</v>
      </c>
      <c r="B746" s="2">
        <v>41791</v>
      </c>
      <c r="C746">
        <v>67.290000000000006</v>
      </c>
      <c r="D746">
        <v>63.23</v>
      </c>
      <c r="E746">
        <v>68</v>
      </c>
      <c r="F746">
        <v>61.79</v>
      </c>
      <c r="G746" s="1" t="s">
        <v>643</v>
      </c>
      <c r="H746">
        <v>6.3E-2</v>
      </c>
      <c r="I746" s="3">
        <f t="shared" si="11"/>
        <v>7.9655223658790297E-2</v>
      </c>
    </row>
    <row r="747" spans="1:9" x14ac:dyDescent="0.35">
      <c r="A747" s="1" t="s">
        <v>521</v>
      </c>
      <c r="B747" s="2">
        <v>41821</v>
      </c>
      <c r="C747">
        <v>72.650000000000006</v>
      </c>
      <c r="D747">
        <v>67.58</v>
      </c>
      <c r="E747">
        <v>76.739999999999995</v>
      </c>
      <c r="F747">
        <v>62.21</v>
      </c>
      <c r="G747" s="1" t="s">
        <v>91</v>
      </c>
      <c r="H747">
        <v>7.9699999999999993E-2</v>
      </c>
      <c r="I747" s="3">
        <f t="shared" si="11"/>
        <v>2.9869236063317098E-2</v>
      </c>
    </row>
    <row r="748" spans="1:9" x14ac:dyDescent="0.35">
      <c r="A748" s="1" t="s">
        <v>521</v>
      </c>
      <c r="B748" s="2">
        <v>41852</v>
      </c>
      <c r="C748">
        <v>74.819999999999993</v>
      </c>
      <c r="D748">
        <v>72.22</v>
      </c>
      <c r="E748">
        <v>75.989999999999995</v>
      </c>
      <c r="F748">
        <v>71.55</v>
      </c>
      <c r="G748" s="1" t="s">
        <v>642</v>
      </c>
      <c r="H748">
        <v>2.9899999999999999E-2</v>
      </c>
      <c r="I748" s="3">
        <f t="shared" si="11"/>
        <v>5.640203154236853E-2</v>
      </c>
    </row>
    <row r="749" spans="1:9" x14ac:dyDescent="0.35">
      <c r="A749" s="1" t="s">
        <v>521</v>
      </c>
      <c r="B749" s="2">
        <v>41883</v>
      </c>
      <c r="C749">
        <v>79.040000000000006</v>
      </c>
      <c r="D749">
        <v>75.010000000000005</v>
      </c>
      <c r="E749">
        <v>79.709999999999994</v>
      </c>
      <c r="F749">
        <v>73.069999999999993</v>
      </c>
      <c r="G749" s="1" t="s">
        <v>641</v>
      </c>
      <c r="H749">
        <v>5.6399999999999999E-2</v>
      </c>
      <c r="I749" s="3">
        <f t="shared" si="11"/>
        <v>-5.1239878542510262E-2</v>
      </c>
    </row>
    <row r="750" spans="1:9" x14ac:dyDescent="0.35">
      <c r="A750" s="1" t="s">
        <v>521</v>
      </c>
      <c r="B750" s="2">
        <v>41913</v>
      </c>
      <c r="C750">
        <v>74.989999999999995</v>
      </c>
      <c r="D750">
        <v>78.78</v>
      </c>
      <c r="E750">
        <v>81.16</v>
      </c>
      <c r="F750">
        <v>70.319999999999993</v>
      </c>
      <c r="G750" s="1" t="s">
        <v>297</v>
      </c>
      <c r="H750">
        <v>-5.1200000000000002E-2</v>
      </c>
      <c r="I750" s="3">
        <f t="shared" si="11"/>
        <v>3.6138151753567251E-2</v>
      </c>
    </row>
    <row r="751" spans="1:9" x14ac:dyDescent="0.35">
      <c r="A751" s="1" t="s">
        <v>521</v>
      </c>
      <c r="B751" s="2">
        <v>41944</v>
      </c>
      <c r="C751">
        <v>77.7</v>
      </c>
      <c r="D751">
        <v>75.47</v>
      </c>
      <c r="E751">
        <v>78.27</v>
      </c>
      <c r="F751">
        <v>72.510000000000005</v>
      </c>
      <c r="G751" s="1" t="s">
        <v>640</v>
      </c>
      <c r="H751">
        <v>3.61E-2</v>
      </c>
      <c r="I751" s="3">
        <f t="shared" si="11"/>
        <v>4.1184041184040305E-3</v>
      </c>
    </row>
    <row r="752" spans="1:9" x14ac:dyDescent="0.35">
      <c r="A752" s="1" t="s">
        <v>521</v>
      </c>
      <c r="B752" s="2">
        <v>41974</v>
      </c>
      <c r="C752">
        <v>78.02</v>
      </c>
      <c r="D752">
        <v>77.260000000000005</v>
      </c>
      <c r="E752">
        <v>82.17</v>
      </c>
      <c r="F752">
        <v>74.400000000000006</v>
      </c>
      <c r="G752" s="1" t="s">
        <v>639</v>
      </c>
      <c r="H752">
        <v>4.1000000000000003E-3</v>
      </c>
      <c r="I752" s="3">
        <f t="shared" si="11"/>
        <v>-2.7044347603178667E-2</v>
      </c>
    </row>
    <row r="753" spans="1:9" x14ac:dyDescent="0.35">
      <c r="A753" s="1" t="s">
        <v>521</v>
      </c>
      <c r="B753" s="2">
        <v>42005</v>
      </c>
      <c r="C753">
        <v>75.91</v>
      </c>
      <c r="D753">
        <v>78.58</v>
      </c>
      <c r="E753">
        <v>79.25</v>
      </c>
      <c r="F753">
        <v>73.540000000000006</v>
      </c>
      <c r="G753" s="1" t="s">
        <v>638</v>
      </c>
      <c r="H753">
        <v>-2.7E-2</v>
      </c>
      <c r="I753" s="3">
        <f t="shared" si="11"/>
        <v>4.0310894480305656E-2</v>
      </c>
    </row>
    <row r="754" spans="1:9" x14ac:dyDescent="0.35">
      <c r="A754" s="1" t="s">
        <v>521</v>
      </c>
      <c r="B754" s="2">
        <v>42036</v>
      </c>
      <c r="C754">
        <v>78.97</v>
      </c>
      <c r="D754">
        <v>76.11</v>
      </c>
      <c r="E754">
        <v>81.37</v>
      </c>
      <c r="F754">
        <v>73.45</v>
      </c>
      <c r="G754" s="1" t="s">
        <v>637</v>
      </c>
      <c r="H754">
        <v>4.0300000000000002E-2</v>
      </c>
      <c r="I754" s="3">
        <f t="shared" si="11"/>
        <v>4.1028238571609407E-2</v>
      </c>
    </row>
    <row r="755" spans="1:9" x14ac:dyDescent="0.35">
      <c r="A755" s="1" t="s">
        <v>521</v>
      </c>
      <c r="B755" s="2">
        <v>42064</v>
      </c>
      <c r="C755">
        <v>82.21</v>
      </c>
      <c r="D755">
        <v>79</v>
      </c>
      <c r="E755">
        <v>86.07</v>
      </c>
      <c r="F755">
        <v>77.260000000000005</v>
      </c>
      <c r="G755" s="1" t="s">
        <v>636</v>
      </c>
      <c r="H755">
        <v>4.1099999999999998E-2</v>
      </c>
      <c r="I755" s="3">
        <f t="shared" si="11"/>
        <v>-4.18440579004987E-2</v>
      </c>
    </row>
    <row r="756" spans="1:9" x14ac:dyDescent="0.35">
      <c r="A756" s="1" t="s">
        <v>521</v>
      </c>
      <c r="B756" s="2">
        <v>42095</v>
      </c>
      <c r="C756">
        <v>78.77</v>
      </c>
      <c r="D756">
        <v>82.5</v>
      </c>
      <c r="E756">
        <v>85.59</v>
      </c>
      <c r="F756">
        <v>78.319999999999993</v>
      </c>
      <c r="G756" s="1" t="s">
        <v>635</v>
      </c>
      <c r="H756">
        <v>-4.19E-2</v>
      </c>
      <c r="I756" s="3">
        <f t="shared" si="11"/>
        <v>5.3319791798908433E-3</v>
      </c>
    </row>
    <row r="757" spans="1:9" x14ac:dyDescent="0.35">
      <c r="A757" s="1" t="s">
        <v>521</v>
      </c>
      <c r="B757" s="2">
        <v>42125</v>
      </c>
      <c r="C757">
        <v>79.19</v>
      </c>
      <c r="D757">
        <v>79.239999999999995</v>
      </c>
      <c r="E757">
        <v>81.849999999999994</v>
      </c>
      <c r="F757">
        <v>76.790000000000006</v>
      </c>
      <c r="G757" s="1" t="s">
        <v>634</v>
      </c>
      <c r="H757">
        <v>5.3E-3</v>
      </c>
      <c r="I757" s="3">
        <f t="shared" si="11"/>
        <v>8.2965020835964229E-2</v>
      </c>
    </row>
    <row r="758" spans="1:9" x14ac:dyDescent="0.35">
      <c r="A758" s="1" t="s">
        <v>521</v>
      </c>
      <c r="B758" s="2">
        <v>42156</v>
      </c>
      <c r="C758">
        <v>85.76</v>
      </c>
      <c r="D758">
        <v>79.3</v>
      </c>
      <c r="E758">
        <v>89.4</v>
      </c>
      <c r="F758">
        <v>78.66</v>
      </c>
      <c r="G758" s="1" t="s">
        <v>633</v>
      </c>
      <c r="H758">
        <v>8.3000000000000004E-2</v>
      </c>
      <c r="I758" s="3">
        <f t="shared" si="11"/>
        <v>9.6198694029850734E-2</v>
      </c>
    </row>
    <row r="759" spans="1:9" x14ac:dyDescent="0.35">
      <c r="A759" s="1" t="s">
        <v>521</v>
      </c>
      <c r="B759" s="2">
        <v>42186</v>
      </c>
      <c r="C759">
        <v>94.01</v>
      </c>
      <c r="D759">
        <v>86.77</v>
      </c>
      <c r="E759">
        <v>99.24</v>
      </c>
      <c r="F759">
        <v>85.23</v>
      </c>
      <c r="G759" s="1" t="s">
        <v>632</v>
      </c>
      <c r="H759">
        <v>9.6100000000000005E-2</v>
      </c>
      <c r="I759" s="3">
        <f t="shared" si="11"/>
        <v>-4.8718221465801487E-2</v>
      </c>
    </row>
    <row r="760" spans="1:9" x14ac:dyDescent="0.35">
      <c r="A760" s="1" t="s">
        <v>521</v>
      </c>
      <c r="B760" s="2">
        <v>42217</v>
      </c>
      <c r="C760">
        <v>89.43</v>
      </c>
      <c r="D760">
        <v>93.53</v>
      </c>
      <c r="E760">
        <v>98.74</v>
      </c>
      <c r="F760">
        <v>72</v>
      </c>
      <c r="G760" s="1" t="s">
        <v>631</v>
      </c>
      <c r="H760">
        <v>-4.87E-2</v>
      </c>
      <c r="I760" s="3">
        <f t="shared" si="11"/>
        <v>5.255507100525538E-3</v>
      </c>
    </row>
    <row r="761" spans="1:9" x14ac:dyDescent="0.35">
      <c r="A761" s="1" t="s">
        <v>521</v>
      </c>
      <c r="B761" s="2">
        <v>42248</v>
      </c>
      <c r="C761">
        <v>89.9</v>
      </c>
      <c r="D761">
        <v>86.85</v>
      </c>
      <c r="E761">
        <v>96.49</v>
      </c>
      <c r="F761">
        <v>85.72</v>
      </c>
      <c r="G761" s="1" t="s">
        <v>630</v>
      </c>
      <c r="H761">
        <v>5.3E-3</v>
      </c>
      <c r="I761" s="3">
        <f t="shared" si="11"/>
        <v>0.1342602892102335</v>
      </c>
    </row>
    <row r="762" spans="1:9" x14ac:dyDescent="0.35">
      <c r="A762" s="1" t="s">
        <v>521</v>
      </c>
      <c r="B762" s="2">
        <v>42278</v>
      </c>
      <c r="C762">
        <v>101.97</v>
      </c>
      <c r="D762">
        <v>90.05</v>
      </c>
      <c r="E762">
        <v>105.12</v>
      </c>
      <c r="F762">
        <v>88.36</v>
      </c>
      <c r="G762" s="1" t="s">
        <v>629</v>
      </c>
      <c r="H762">
        <v>0.1343</v>
      </c>
      <c r="I762" s="3">
        <f t="shared" si="11"/>
        <v>2.2261449445915425E-2</v>
      </c>
    </row>
    <row r="763" spans="1:9" x14ac:dyDescent="0.35">
      <c r="A763" s="1" t="s">
        <v>521</v>
      </c>
      <c r="B763" s="2">
        <v>42309</v>
      </c>
      <c r="C763">
        <v>104.24</v>
      </c>
      <c r="D763">
        <v>102.46</v>
      </c>
      <c r="E763">
        <v>110.65</v>
      </c>
      <c r="F763">
        <v>100.47</v>
      </c>
      <c r="G763" s="1" t="s">
        <v>628</v>
      </c>
      <c r="H763">
        <v>2.23E-2</v>
      </c>
      <c r="I763" s="3">
        <f t="shared" si="11"/>
        <v>4.0291634689178981E-3</v>
      </c>
    </row>
    <row r="764" spans="1:9" x14ac:dyDescent="0.35">
      <c r="A764" s="1" t="s">
        <v>521</v>
      </c>
      <c r="B764" s="2">
        <v>42339</v>
      </c>
      <c r="C764">
        <v>104.66</v>
      </c>
      <c r="D764">
        <v>104.83</v>
      </c>
      <c r="E764">
        <v>107.92</v>
      </c>
      <c r="F764">
        <v>101.46</v>
      </c>
      <c r="G764" s="1" t="s">
        <v>627</v>
      </c>
      <c r="H764">
        <v>4.0000000000000001E-3</v>
      </c>
      <c r="I764" s="3">
        <f t="shared" si="11"/>
        <v>7.2138352761322355E-2</v>
      </c>
    </row>
    <row r="765" spans="1:9" x14ac:dyDescent="0.35">
      <c r="A765" s="1" t="s">
        <v>521</v>
      </c>
      <c r="B765" s="2">
        <v>42370</v>
      </c>
      <c r="C765">
        <v>112.21</v>
      </c>
      <c r="D765">
        <v>101.95</v>
      </c>
      <c r="E765">
        <v>112.84</v>
      </c>
      <c r="F765">
        <v>89.37</v>
      </c>
      <c r="G765" s="1" t="s">
        <v>626</v>
      </c>
      <c r="H765">
        <v>7.2099999999999997E-2</v>
      </c>
      <c r="I765" s="3">
        <f t="shared" si="11"/>
        <v>-4.7143748329025868E-2</v>
      </c>
    </row>
    <row r="766" spans="1:9" x14ac:dyDescent="0.35">
      <c r="A766" s="1" t="s">
        <v>521</v>
      </c>
      <c r="B766" s="2">
        <v>42401</v>
      </c>
      <c r="C766">
        <v>106.92</v>
      </c>
      <c r="D766">
        <v>112.27</v>
      </c>
      <c r="E766">
        <v>117.59</v>
      </c>
      <c r="F766">
        <v>96.82</v>
      </c>
      <c r="G766" s="1" t="s">
        <v>625</v>
      </c>
      <c r="H766">
        <v>-4.7100000000000003E-2</v>
      </c>
      <c r="I766" s="3">
        <f t="shared" si="11"/>
        <v>6.7153011597455972E-2</v>
      </c>
    </row>
    <row r="767" spans="1:9" x14ac:dyDescent="0.35">
      <c r="A767" s="1" t="s">
        <v>521</v>
      </c>
      <c r="B767" s="2">
        <v>42430</v>
      </c>
      <c r="C767">
        <v>114.1</v>
      </c>
      <c r="D767">
        <v>107.83</v>
      </c>
      <c r="E767">
        <v>116.99</v>
      </c>
      <c r="F767">
        <v>104.4</v>
      </c>
      <c r="G767" s="1" t="s">
        <v>624</v>
      </c>
      <c r="H767">
        <v>6.7199999999999996E-2</v>
      </c>
      <c r="I767" s="3">
        <f t="shared" si="11"/>
        <v>3.0499561787905381E-2</v>
      </c>
    </row>
    <row r="768" spans="1:9" x14ac:dyDescent="0.35">
      <c r="A768" s="1" t="s">
        <v>521</v>
      </c>
      <c r="B768" s="2">
        <v>42461</v>
      </c>
      <c r="C768">
        <v>117.58</v>
      </c>
      <c r="D768">
        <v>113.75</v>
      </c>
      <c r="E768">
        <v>120.79</v>
      </c>
      <c r="F768">
        <v>106.31</v>
      </c>
      <c r="G768" s="1" t="s">
        <v>623</v>
      </c>
      <c r="H768">
        <v>3.0499999999999999E-2</v>
      </c>
      <c r="I768" s="3">
        <f t="shared" si="11"/>
        <v>1.0460962748766831E-2</v>
      </c>
    </row>
    <row r="769" spans="1:9" x14ac:dyDescent="0.35">
      <c r="A769" s="1" t="s">
        <v>521</v>
      </c>
      <c r="B769" s="2">
        <v>42491</v>
      </c>
      <c r="C769">
        <v>118.81</v>
      </c>
      <c r="D769">
        <v>117.83</v>
      </c>
      <c r="E769">
        <v>121.08</v>
      </c>
      <c r="F769">
        <v>114.8</v>
      </c>
      <c r="G769" s="1" t="s">
        <v>622</v>
      </c>
      <c r="H769">
        <v>1.0500000000000001E-2</v>
      </c>
      <c r="I769" s="3">
        <f t="shared" si="11"/>
        <v>-3.8128103694975178E-2</v>
      </c>
    </row>
    <row r="770" spans="1:9" x14ac:dyDescent="0.35">
      <c r="A770" s="1" t="s">
        <v>521</v>
      </c>
      <c r="B770" s="2">
        <v>42522</v>
      </c>
      <c r="C770">
        <v>114.28</v>
      </c>
      <c r="D770">
        <v>118.5</v>
      </c>
      <c r="E770">
        <v>119.44</v>
      </c>
      <c r="F770">
        <v>108.23</v>
      </c>
      <c r="G770" s="1" t="s">
        <v>621</v>
      </c>
      <c r="H770">
        <v>-3.8100000000000002E-2</v>
      </c>
      <c r="I770" s="3">
        <f t="shared" ref="I770:I833" si="12">IF(A771=A770, (C771-C770)/C770, 0)</f>
        <v>8.4529226461323034E-2</v>
      </c>
    </row>
    <row r="771" spans="1:9" x14ac:dyDescent="0.35">
      <c r="A771" s="1" t="s">
        <v>521</v>
      </c>
      <c r="B771" s="2">
        <v>42552</v>
      </c>
      <c r="C771">
        <v>123.94</v>
      </c>
      <c r="D771">
        <v>114.2</v>
      </c>
      <c r="E771">
        <v>128.33000000000001</v>
      </c>
      <c r="F771">
        <v>112.97</v>
      </c>
      <c r="G771" s="1" t="s">
        <v>620</v>
      </c>
      <c r="H771">
        <v>8.4500000000000006E-2</v>
      </c>
      <c r="I771" s="3">
        <f t="shared" si="12"/>
        <v>1.7589156043246786E-2</v>
      </c>
    </row>
    <row r="772" spans="1:9" x14ac:dyDescent="0.35">
      <c r="A772" s="1" t="s">
        <v>521</v>
      </c>
      <c r="B772" s="2">
        <v>42583</v>
      </c>
      <c r="C772">
        <v>126.12</v>
      </c>
      <c r="D772">
        <v>123.85</v>
      </c>
      <c r="E772">
        <v>126.73</v>
      </c>
      <c r="F772">
        <v>122.07</v>
      </c>
      <c r="G772" s="1" t="s">
        <v>619</v>
      </c>
      <c r="H772">
        <v>1.7600000000000001E-2</v>
      </c>
      <c r="I772" s="3">
        <f t="shared" si="12"/>
        <v>1.7047256581033982E-2</v>
      </c>
    </row>
    <row r="773" spans="1:9" x14ac:dyDescent="0.35">
      <c r="A773" s="1" t="s">
        <v>521</v>
      </c>
      <c r="B773" s="2">
        <v>42614</v>
      </c>
      <c r="C773">
        <v>128.27000000000001</v>
      </c>
      <c r="D773">
        <v>126.38</v>
      </c>
      <c r="E773">
        <v>131.97999999999999</v>
      </c>
      <c r="F773">
        <v>125.6</v>
      </c>
      <c r="G773" s="1" t="s">
        <v>618</v>
      </c>
      <c r="H773">
        <v>1.7000000000000001E-2</v>
      </c>
      <c r="I773" s="3">
        <f t="shared" si="12"/>
        <v>2.1205270133312533E-2</v>
      </c>
    </row>
    <row r="774" spans="1:9" x14ac:dyDescent="0.35">
      <c r="A774" s="1" t="s">
        <v>521</v>
      </c>
      <c r="B774" s="2">
        <v>42644</v>
      </c>
      <c r="C774">
        <v>130.99</v>
      </c>
      <c r="D774">
        <v>128.38</v>
      </c>
      <c r="E774">
        <v>133.5</v>
      </c>
      <c r="F774">
        <v>126.75</v>
      </c>
      <c r="G774" s="1" t="s">
        <v>617</v>
      </c>
      <c r="H774">
        <v>2.12E-2</v>
      </c>
      <c r="I774" s="3">
        <f t="shared" si="12"/>
        <v>-9.5961523780441302E-2</v>
      </c>
    </row>
    <row r="775" spans="1:9" x14ac:dyDescent="0.35">
      <c r="A775" s="1" t="s">
        <v>521</v>
      </c>
      <c r="B775" s="2">
        <v>42675</v>
      </c>
      <c r="C775">
        <v>118.42</v>
      </c>
      <c r="D775">
        <v>131.41</v>
      </c>
      <c r="E775">
        <v>131.94</v>
      </c>
      <c r="F775">
        <v>113.55</v>
      </c>
      <c r="G775" s="1" t="s">
        <v>616</v>
      </c>
      <c r="H775">
        <v>-9.6000000000000002E-2</v>
      </c>
      <c r="I775" s="3">
        <f t="shared" si="12"/>
        <v>-2.8458030738051043E-2</v>
      </c>
    </row>
    <row r="776" spans="1:9" x14ac:dyDescent="0.35">
      <c r="A776" s="1" t="s">
        <v>521</v>
      </c>
      <c r="B776" s="2">
        <v>42705</v>
      </c>
      <c r="C776">
        <v>115.05</v>
      </c>
      <c r="D776">
        <v>118.38</v>
      </c>
      <c r="E776">
        <v>122.5</v>
      </c>
      <c r="F776">
        <v>114</v>
      </c>
      <c r="G776" s="1" t="s">
        <v>615</v>
      </c>
      <c r="H776">
        <v>-2.8500000000000001E-2</v>
      </c>
      <c r="I776" s="3">
        <f t="shared" si="12"/>
        <v>0.1327249022164276</v>
      </c>
    </row>
    <row r="777" spans="1:9" x14ac:dyDescent="0.35">
      <c r="A777" s="1" t="s">
        <v>521</v>
      </c>
      <c r="B777" s="2">
        <v>42736</v>
      </c>
      <c r="C777">
        <v>130.32</v>
      </c>
      <c r="D777">
        <v>116.03</v>
      </c>
      <c r="E777">
        <v>133.13999999999999</v>
      </c>
      <c r="F777">
        <v>115.51</v>
      </c>
      <c r="G777" s="1" t="s">
        <v>614</v>
      </c>
      <c r="H777">
        <v>0.13270000000000001</v>
      </c>
      <c r="I777" s="3">
        <f t="shared" si="12"/>
        <v>4.0055248618784525E-2</v>
      </c>
    </row>
    <row r="778" spans="1:9" x14ac:dyDescent="0.35">
      <c r="A778" s="1" t="s">
        <v>521</v>
      </c>
      <c r="B778" s="2">
        <v>42767</v>
      </c>
      <c r="C778">
        <v>135.54</v>
      </c>
      <c r="D778">
        <v>132.25</v>
      </c>
      <c r="E778">
        <v>137.18</v>
      </c>
      <c r="F778">
        <v>130.30000000000001</v>
      </c>
      <c r="G778" s="1" t="s">
        <v>613</v>
      </c>
      <c r="H778">
        <v>4.0099999999999997E-2</v>
      </c>
      <c r="I778" s="3">
        <f t="shared" si="12"/>
        <v>4.803010181496252E-2</v>
      </c>
    </row>
    <row r="779" spans="1:9" x14ac:dyDescent="0.35">
      <c r="A779" s="1" t="s">
        <v>521</v>
      </c>
      <c r="B779" s="2">
        <v>42795</v>
      </c>
      <c r="C779">
        <v>142.05000000000001</v>
      </c>
      <c r="D779">
        <v>136.47</v>
      </c>
      <c r="E779">
        <v>142.94999999999999</v>
      </c>
      <c r="F779">
        <v>136.08000000000001</v>
      </c>
      <c r="G779" s="1" t="s">
        <v>612</v>
      </c>
      <c r="H779">
        <v>4.8000000000000001E-2</v>
      </c>
      <c r="I779" s="3">
        <f t="shared" si="12"/>
        <v>5.7726152763111493E-2</v>
      </c>
    </row>
    <row r="780" spans="1:9" x14ac:dyDescent="0.35">
      <c r="A780" s="1" t="s">
        <v>521</v>
      </c>
      <c r="B780" s="2">
        <v>42826</v>
      </c>
      <c r="C780">
        <v>150.25</v>
      </c>
      <c r="D780">
        <v>141.93</v>
      </c>
      <c r="E780">
        <v>151.53</v>
      </c>
      <c r="F780">
        <v>138.81</v>
      </c>
      <c r="G780" s="1" t="s">
        <v>611</v>
      </c>
      <c r="H780">
        <v>5.7700000000000001E-2</v>
      </c>
      <c r="I780" s="3">
        <f t="shared" si="12"/>
        <v>8.053244592346142E-3</v>
      </c>
    </row>
    <row r="781" spans="1:9" x14ac:dyDescent="0.35">
      <c r="A781" s="1" t="s">
        <v>521</v>
      </c>
      <c r="B781" s="2">
        <v>42856</v>
      </c>
      <c r="C781">
        <v>151.46</v>
      </c>
      <c r="D781">
        <v>151.74</v>
      </c>
      <c r="E781">
        <v>153.6</v>
      </c>
      <c r="F781">
        <v>144.41999999999999</v>
      </c>
      <c r="G781" s="1" t="s">
        <v>610</v>
      </c>
      <c r="H781">
        <v>8.0999999999999996E-3</v>
      </c>
      <c r="I781" s="3">
        <f t="shared" si="12"/>
        <v>-3.1691535719002915E-3</v>
      </c>
    </row>
    <row r="782" spans="1:9" x14ac:dyDescent="0.35">
      <c r="A782" s="1" t="s">
        <v>521</v>
      </c>
      <c r="B782" s="2">
        <v>42887</v>
      </c>
      <c r="C782">
        <v>150.97999999999999</v>
      </c>
      <c r="D782">
        <v>151.75</v>
      </c>
      <c r="E782">
        <v>156.5</v>
      </c>
      <c r="F782">
        <v>144.56</v>
      </c>
      <c r="G782" s="1" t="s">
        <v>609</v>
      </c>
      <c r="H782">
        <v>-3.2000000000000002E-3</v>
      </c>
      <c r="I782" s="3">
        <f t="shared" si="12"/>
        <v>0.12100940521923441</v>
      </c>
    </row>
    <row r="783" spans="1:9" x14ac:dyDescent="0.35">
      <c r="A783" s="1" t="s">
        <v>521</v>
      </c>
      <c r="B783" s="2">
        <v>42917</v>
      </c>
      <c r="C783">
        <v>169.25</v>
      </c>
      <c r="D783">
        <v>151.72</v>
      </c>
      <c r="E783">
        <v>175.49</v>
      </c>
      <c r="F783">
        <v>147.80000000000001</v>
      </c>
      <c r="G783" s="1" t="s">
        <v>608</v>
      </c>
      <c r="H783">
        <v>0.121</v>
      </c>
      <c r="I783" s="3">
        <f t="shared" si="12"/>
        <v>1.6070901033973406E-2</v>
      </c>
    </row>
    <row r="784" spans="1:9" x14ac:dyDescent="0.35">
      <c r="A784" s="1" t="s">
        <v>521</v>
      </c>
      <c r="B784" s="2">
        <v>42948</v>
      </c>
      <c r="C784">
        <v>171.97</v>
      </c>
      <c r="D784">
        <v>169.82</v>
      </c>
      <c r="E784">
        <v>173.05</v>
      </c>
      <c r="F784">
        <v>165</v>
      </c>
      <c r="G784" s="1" t="s">
        <v>607</v>
      </c>
      <c r="H784">
        <v>1.61E-2</v>
      </c>
      <c r="I784" s="3">
        <f t="shared" si="12"/>
        <v>-6.3964644996219941E-3</v>
      </c>
    </row>
    <row r="785" spans="1:9" x14ac:dyDescent="0.35">
      <c r="A785" s="1" t="s">
        <v>521</v>
      </c>
      <c r="B785" s="2">
        <v>42979</v>
      </c>
      <c r="C785">
        <v>170.87</v>
      </c>
      <c r="D785">
        <v>172.4</v>
      </c>
      <c r="E785">
        <v>174</v>
      </c>
      <c r="F785">
        <v>161.56</v>
      </c>
      <c r="G785" s="1" t="s">
        <v>606</v>
      </c>
      <c r="H785">
        <v>-6.4000000000000003E-3</v>
      </c>
      <c r="I785" s="3">
        <f t="shared" si="12"/>
        <v>5.3783578158834187E-2</v>
      </c>
    </row>
    <row r="786" spans="1:9" x14ac:dyDescent="0.35">
      <c r="A786" s="1" t="s">
        <v>521</v>
      </c>
      <c r="B786" s="2">
        <v>43009</v>
      </c>
      <c r="C786">
        <v>180.06</v>
      </c>
      <c r="D786">
        <v>171.39</v>
      </c>
      <c r="E786">
        <v>180.8</v>
      </c>
      <c r="F786">
        <v>168.29</v>
      </c>
      <c r="G786" s="1" t="s">
        <v>605</v>
      </c>
      <c r="H786">
        <v>5.3800000000000001E-2</v>
      </c>
      <c r="I786" s="3">
        <f t="shared" si="12"/>
        <v>-1.5994668443852025E-2</v>
      </c>
    </row>
    <row r="787" spans="1:9" x14ac:dyDescent="0.35">
      <c r="A787" s="1" t="s">
        <v>521</v>
      </c>
      <c r="B787" s="2">
        <v>43040</v>
      </c>
      <c r="C787">
        <v>177.18</v>
      </c>
      <c r="D787">
        <v>182.36</v>
      </c>
      <c r="E787">
        <v>184.25</v>
      </c>
      <c r="F787">
        <v>174</v>
      </c>
      <c r="G787" s="1" t="s">
        <v>604</v>
      </c>
      <c r="H787">
        <v>-1.6E-2</v>
      </c>
      <c r="I787" s="3">
        <f t="shared" si="12"/>
        <v>-4.0636640704368376E-3</v>
      </c>
    </row>
    <row r="788" spans="1:9" x14ac:dyDescent="0.35">
      <c r="A788" s="1" t="s">
        <v>521</v>
      </c>
      <c r="B788" s="2">
        <v>43070</v>
      </c>
      <c r="C788">
        <v>176.46</v>
      </c>
      <c r="D788">
        <v>176.03</v>
      </c>
      <c r="E788">
        <v>182.28</v>
      </c>
      <c r="F788">
        <v>169.01</v>
      </c>
      <c r="G788" s="1" t="s">
        <v>603</v>
      </c>
      <c r="H788">
        <v>-4.1000000000000003E-3</v>
      </c>
      <c r="I788" s="3">
        <f t="shared" si="12"/>
        <v>5.9106879746117974E-2</v>
      </c>
    </row>
    <row r="789" spans="1:9" x14ac:dyDescent="0.35">
      <c r="A789" s="1" t="s">
        <v>521</v>
      </c>
      <c r="B789" s="2">
        <v>43101</v>
      </c>
      <c r="C789">
        <v>186.89</v>
      </c>
      <c r="D789">
        <v>177.68</v>
      </c>
      <c r="E789">
        <v>190.66</v>
      </c>
      <c r="F789">
        <v>175.8</v>
      </c>
      <c r="G789" s="1" t="s">
        <v>602</v>
      </c>
      <c r="H789">
        <v>5.91E-2</v>
      </c>
      <c r="I789" s="3">
        <f t="shared" si="12"/>
        <v>-4.5855851035368364E-2</v>
      </c>
    </row>
    <row r="790" spans="1:9" x14ac:dyDescent="0.35">
      <c r="A790" s="1" t="s">
        <v>521</v>
      </c>
      <c r="B790" s="2">
        <v>43132</v>
      </c>
      <c r="C790">
        <v>178.32</v>
      </c>
      <c r="D790">
        <v>188.22</v>
      </c>
      <c r="E790">
        <v>195.32</v>
      </c>
      <c r="F790">
        <v>167.18</v>
      </c>
      <c r="G790" s="1" t="s">
        <v>601</v>
      </c>
      <c r="H790">
        <v>-4.5900000000000003E-2</v>
      </c>
      <c r="I790" s="3">
        <f t="shared" si="12"/>
        <v>-0.10391431135038134</v>
      </c>
    </row>
    <row r="791" spans="1:9" x14ac:dyDescent="0.35">
      <c r="A791" s="1" t="s">
        <v>521</v>
      </c>
      <c r="B791" s="2">
        <v>43160</v>
      </c>
      <c r="C791">
        <v>159.79</v>
      </c>
      <c r="D791">
        <v>179.01</v>
      </c>
      <c r="E791">
        <v>186.1</v>
      </c>
      <c r="F791">
        <v>149.02000000000001</v>
      </c>
      <c r="G791" s="1" t="s">
        <v>600</v>
      </c>
      <c r="H791">
        <v>-0.10390000000000001</v>
      </c>
      <c r="I791" s="3">
        <f t="shared" si="12"/>
        <v>7.6412791789223403E-2</v>
      </c>
    </row>
    <row r="792" spans="1:9" x14ac:dyDescent="0.35">
      <c r="A792" s="1" t="s">
        <v>521</v>
      </c>
      <c r="B792" s="2">
        <v>43191</v>
      </c>
      <c r="C792">
        <v>172</v>
      </c>
      <c r="D792">
        <v>157.81</v>
      </c>
      <c r="E792">
        <v>177.1</v>
      </c>
      <c r="F792">
        <v>150.51</v>
      </c>
      <c r="G792" s="1" t="s">
        <v>599</v>
      </c>
      <c r="H792">
        <v>7.6399999999999996E-2</v>
      </c>
      <c r="I792" s="3">
        <f t="shared" si="12"/>
        <v>0.115</v>
      </c>
    </row>
    <row r="793" spans="1:9" x14ac:dyDescent="0.35">
      <c r="A793" s="1" t="s">
        <v>521</v>
      </c>
      <c r="B793" s="2">
        <v>43221</v>
      </c>
      <c r="C793">
        <v>191.78</v>
      </c>
      <c r="D793">
        <v>172</v>
      </c>
      <c r="E793">
        <v>192.72</v>
      </c>
      <c r="F793">
        <v>170.23</v>
      </c>
      <c r="G793" s="1" t="s">
        <v>598</v>
      </c>
      <c r="H793">
        <v>0.115</v>
      </c>
      <c r="I793" s="3">
        <f t="shared" si="12"/>
        <v>1.3244342475753425E-2</v>
      </c>
    </row>
    <row r="794" spans="1:9" x14ac:dyDescent="0.35">
      <c r="A794" s="1" t="s">
        <v>521</v>
      </c>
      <c r="B794" s="2">
        <v>43252</v>
      </c>
      <c r="C794">
        <v>194.32</v>
      </c>
      <c r="D794">
        <v>193.07</v>
      </c>
      <c r="E794">
        <v>203.55</v>
      </c>
      <c r="F794">
        <v>186.43</v>
      </c>
      <c r="G794" s="1" t="s">
        <v>597</v>
      </c>
      <c r="H794">
        <v>1.32E-2</v>
      </c>
      <c r="I794" s="3">
        <f t="shared" si="12"/>
        <v>-0.11187731576780559</v>
      </c>
    </row>
    <row r="795" spans="1:9" x14ac:dyDescent="0.35">
      <c r="A795" s="1" t="s">
        <v>521</v>
      </c>
      <c r="B795" s="2">
        <v>43282</v>
      </c>
      <c r="C795">
        <v>172.58</v>
      </c>
      <c r="D795">
        <v>193.37</v>
      </c>
      <c r="E795">
        <v>218.62</v>
      </c>
      <c r="F795">
        <v>166.56</v>
      </c>
      <c r="G795" s="1" t="s">
        <v>596</v>
      </c>
      <c r="H795">
        <v>-0.1119</v>
      </c>
      <c r="I795" s="3">
        <f t="shared" si="12"/>
        <v>1.825240468188653E-2</v>
      </c>
    </row>
    <row r="796" spans="1:9" x14ac:dyDescent="0.35">
      <c r="A796" s="1" t="s">
        <v>521</v>
      </c>
      <c r="B796" s="2">
        <v>43313</v>
      </c>
      <c r="C796">
        <v>175.73</v>
      </c>
      <c r="D796">
        <v>173.93</v>
      </c>
      <c r="E796">
        <v>188.3</v>
      </c>
      <c r="F796">
        <v>170.27</v>
      </c>
      <c r="G796" s="1" t="s">
        <v>595</v>
      </c>
      <c r="H796">
        <v>1.83E-2</v>
      </c>
      <c r="I796" s="3">
        <f t="shared" si="12"/>
        <v>-6.4132475957434598E-2</v>
      </c>
    </row>
    <row r="797" spans="1:9" x14ac:dyDescent="0.35">
      <c r="A797" s="1" t="s">
        <v>521</v>
      </c>
      <c r="B797" s="2">
        <v>43344</v>
      </c>
      <c r="C797">
        <v>164.46</v>
      </c>
      <c r="D797">
        <v>173.5</v>
      </c>
      <c r="E797">
        <v>173.89</v>
      </c>
      <c r="F797">
        <v>158.87</v>
      </c>
      <c r="G797" s="1" t="s">
        <v>594</v>
      </c>
      <c r="H797">
        <v>-6.4100000000000004E-2</v>
      </c>
      <c r="I797" s="3">
        <f t="shared" si="12"/>
        <v>-7.7040009728809533E-2</v>
      </c>
    </row>
    <row r="798" spans="1:9" x14ac:dyDescent="0.35">
      <c r="A798" s="1" t="s">
        <v>521</v>
      </c>
      <c r="B798" s="2">
        <v>43374</v>
      </c>
      <c r="C798">
        <v>151.79</v>
      </c>
      <c r="D798">
        <v>163.03</v>
      </c>
      <c r="E798">
        <v>165.88</v>
      </c>
      <c r="F798">
        <v>139.03</v>
      </c>
      <c r="G798" s="1" t="s">
        <v>593</v>
      </c>
      <c r="H798">
        <v>-7.6999999999999999E-2</v>
      </c>
      <c r="I798" s="3">
        <f t="shared" si="12"/>
        <v>-7.365439093484405E-2</v>
      </c>
    </row>
    <row r="799" spans="1:9" x14ac:dyDescent="0.35">
      <c r="A799" s="1" t="s">
        <v>521</v>
      </c>
      <c r="B799" s="2">
        <v>43405</v>
      </c>
      <c r="C799">
        <v>140.61000000000001</v>
      </c>
      <c r="D799">
        <v>151.52000000000001</v>
      </c>
      <c r="E799">
        <v>154.13</v>
      </c>
      <c r="F799">
        <v>126.85</v>
      </c>
      <c r="G799" s="1" t="s">
        <v>592</v>
      </c>
      <c r="H799">
        <v>-7.3700000000000002E-2</v>
      </c>
      <c r="I799" s="3">
        <f t="shared" si="12"/>
        <v>-6.7704999644406585E-2</v>
      </c>
    </row>
    <row r="800" spans="1:9" x14ac:dyDescent="0.35">
      <c r="A800" s="1" t="s">
        <v>521</v>
      </c>
      <c r="B800" s="2">
        <v>43435</v>
      </c>
      <c r="C800">
        <v>131.09</v>
      </c>
      <c r="D800">
        <v>143</v>
      </c>
      <c r="E800">
        <v>147.19</v>
      </c>
      <c r="F800">
        <v>123.02</v>
      </c>
      <c r="G800" s="1" t="s">
        <v>591</v>
      </c>
      <c r="H800">
        <v>-6.7699999999999996E-2</v>
      </c>
      <c r="I800" s="3">
        <f t="shared" si="12"/>
        <v>0.27156915096498585</v>
      </c>
    </row>
    <row r="801" spans="1:9" x14ac:dyDescent="0.35">
      <c r="A801" s="1" t="s">
        <v>521</v>
      </c>
      <c r="B801" s="2">
        <v>43466</v>
      </c>
      <c r="C801">
        <v>166.69</v>
      </c>
      <c r="D801">
        <v>128.99</v>
      </c>
      <c r="E801">
        <v>171.68</v>
      </c>
      <c r="F801">
        <v>128.56</v>
      </c>
      <c r="G801" s="1" t="s">
        <v>590</v>
      </c>
      <c r="H801">
        <v>0.27160000000000001</v>
      </c>
      <c r="I801" s="3">
        <f t="shared" si="12"/>
        <v>-3.1435599016137794E-2</v>
      </c>
    </row>
    <row r="802" spans="1:9" x14ac:dyDescent="0.35">
      <c r="A802" s="1" t="s">
        <v>521</v>
      </c>
      <c r="B802" s="2">
        <v>43497</v>
      </c>
      <c r="C802">
        <v>161.44999999999999</v>
      </c>
      <c r="D802">
        <v>165.84</v>
      </c>
      <c r="E802">
        <v>172.47</v>
      </c>
      <c r="F802">
        <v>159.59</v>
      </c>
      <c r="G802" s="1" t="s">
        <v>589</v>
      </c>
      <c r="H802">
        <v>-3.1399999999999997E-2</v>
      </c>
      <c r="I802" s="3">
        <f t="shared" si="12"/>
        <v>3.2455868689996961E-2</v>
      </c>
    </row>
    <row r="803" spans="1:9" x14ac:dyDescent="0.35">
      <c r="A803" s="1" t="s">
        <v>521</v>
      </c>
      <c r="B803" s="2">
        <v>43525</v>
      </c>
      <c r="C803">
        <v>166.69</v>
      </c>
      <c r="D803">
        <v>162.6</v>
      </c>
      <c r="E803">
        <v>174.3</v>
      </c>
      <c r="F803">
        <v>159.28</v>
      </c>
      <c r="G803" s="1" t="s">
        <v>588</v>
      </c>
      <c r="H803">
        <v>3.2500000000000001E-2</v>
      </c>
      <c r="I803" s="3">
        <f t="shared" si="12"/>
        <v>0.16023756674065637</v>
      </c>
    </row>
    <row r="804" spans="1:9" x14ac:dyDescent="0.35">
      <c r="A804" s="1" t="s">
        <v>521</v>
      </c>
      <c r="B804" s="2">
        <v>43556</v>
      </c>
      <c r="C804">
        <v>193.4</v>
      </c>
      <c r="D804">
        <v>167.83</v>
      </c>
      <c r="E804">
        <v>198.48</v>
      </c>
      <c r="F804">
        <v>167.28</v>
      </c>
      <c r="G804" s="1" t="s">
        <v>587</v>
      </c>
      <c r="H804">
        <v>0.16020000000000001</v>
      </c>
      <c r="I804" s="3">
        <f t="shared" si="12"/>
        <v>-8.2368148914167563E-2</v>
      </c>
    </row>
    <row r="805" spans="1:9" x14ac:dyDescent="0.35">
      <c r="A805" s="1" t="s">
        <v>521</v>
      </c>
      <c r="B805" s="2">
        <v>43586</v>
      </c>
      <c r="C805">
        <v>177.47</v>
      </c>
      <c r="D805">
        <v>194.78</v>
      </c>
      <c r="E805">
        <v>196.18</v>
      </c>
      <c r="F805">
        <v>177.16</v>
      </c>
      <c r="G805" s="1" t="s">
        <v>586</v>
      </c>
      <c r="H805">
        <v>-8.2400000000000001E-2</v>
      </c>
      <c r="I805" s="3">
        <f t="shared" si="12"/>
        <v>8.7507747788358597E-2</v>
      </c>
    </row>
    <row r="806" spans="1:9" x14ac:dyDescent="0.35">
      <c r="A806" s="1" t="s">
        <v>521</v>
      </c>
      <c r="B806" s="2">
        <v>43617</v>
      </c>
      <c r="C806">
        <v>193</v>
      </c>
      <c r="D806">
        <v>175</v>
      </c>
      <c r="E806">
        <v>194.53</v>
      </c>
      <c r="F806">
        <v>160.84</v>
      </c>
      <c r="G806" s="1" t="s">
        <v>585</v>
      </c>
      <c r="H806">
        <v>8.7499999999999994E-2</v>
      </c>
      <c r="I806" s="3">
        <f t="shared" si="12"/>
        <v>6.3730569948186001E-3</v>
      </c>
    </row>
    <row r="807" spans="1:9" x14ac:dyDescent="0.35">
      <c r="A807" s="1" t="s">
        <v>521</v>
      </c>
      <c r="B807" s="2">
        <v>43647</v>
      </c>
      <c r="C807">
        <v>194.23</v>
      </c>
      <c r="D807">
        <v>195.21</v>
      </c>
      <c r="E807">
        <v>208.66</v>
      </c>
      <c r="F807">
        <v>191.93</v>
      </c>
      <c r="G807" s="1" t="s">
        <v>584</v>
      </c>
      <c r="H807">
        <v>6.4000000000000003E-3</v>
      </c>
      <c r="I807" s="3">
        <f t="shared" si="12"/>
        <v>-4.407146166915514E-2</v>
      </c>
    </row>
    <row r="808" spans="1:9" x14ac:dyDescent="0.35">
      <c r="A808" s="1" t="s">
        <v>521</v>
      </c>
      <c r="B808" s="2">
        <v>43678</v>
      </c>
      <c r="C808">
        <v>185.67</v>
      </c>
      <c r="D808">
        <v>194.17</v>
      </c>
      <c r="E808">
        <v>198.47</v>
      </c>
      <c r="F808">
        <v>176.66</v>
      </c>
      <c r="G808" s="1" t="s">
        <v>583</v>
      </c>
      <c r="H808">
        <v>-4.41E-2</v>
      </c>
      <c r="I808" s="3">
        <f t="shared" si="12"/>
        <v>-4.0878978833413987E-2</v>
      </c>
    </row>
    <row r="809" spans="1:9" x14ac:dyDescent="0.35">
      <c r="A809" s="1" t="s">
        <v>521</v>
      </c>
      <c r="B809" s="2">
        <v>43709</v>
      </c>
      <c r="C809">
        <v>178.08</v>
      </c>
      <c r="D809">
        <v>184</v>
      </c>
      <c r="E809">
        <v>193.1</v>
      </c>
      <c r="F809">
        <v>175.66</v>
      </c>
      <c r="G809" s="1" t="s">
        <v>582</v>
      </c>
      <c r="H809">
        <v>-4.0899999999999999E-2</v>
      </c>
      <c r="I809" s="3">
        <f t="shared" si="12"/>
        <v>7.6201707097933474E-2</v>
      </c>
    </row>
    <row r="810" spans="1:9" x14ac:dyDescent="0.35">
      <c r="A810" s="1" t="s">
        <v>521</v>
      </c>
      <c r="B810" s="2">
        <v>43739</v>
      </c>
      <c r="C810">
        <v>191.65</v>
      </c>
      <c r="D810">
        <v>179.15</v>
      </c>
      <c r="E810">
        <v>198.09</v>
      </c>
      <c r="F810">
        <v>173.09</v>
      </c>
      <c r="G810" s="1" t="s">
        <v>581</v>
      </c>
      <c r="H810">
        <v>7.6200000000000004E-2</v>
      </c>
      <c r="I810" s="3">
        <f t="shared" si="12"/>
        <v>5.2126271849725958E-2</v>
      </c>
    </row>
    <row r="811" spans="1:9" x14ac:dyDescent="0.35">
      <c r="A811" s="1" t="s">
        <v>521</v>
      </c>
      <c r="B811" s="2">
        <v>43770</v>
      </c>
      <c r="C811">
        <v>201.64</v>
      </c>
      <c r="D811">
        <v>192.85</v>
      </c>
      <c r="E811">
        <v>203.8</v>
      </c>
      <c r="F811">
        <v>188.54</v>
      </c>
      <c r="G811" s="1" t="s">
        <v>580</v>
      </c>
      <c r="H811">
        <v>5.21E-2</v>
      </c>
      <c r="I811" s="3">
        <f t="shared" si="12"/>
        <v>1.7903193810751904E-2</v>
      </c>
    </row>
    <row r="812" spans="1:9" x14ac:dyDescent="0.35">
      <c r="A812" s="1" t="s">
        <v>521</v>
      </c>
      <c r="B812" s="2">
        <v>43800</v>
      </c>
      <c r="C812">
        <v>205.25</v>
      </c>
      <c r="D812">
        <v>202.13</v>
      </c>
      <c r="E812">
        <v>208.93</v>
      </c>
      <c r="F812">
        <v>193.17</v>
      </c>
      <c r="G812" s="1" t="s">
        <v>579</v>
      </c>
      <c r="H812">
        <v>1.7899999999999999E-2</v>
      </c>
      <c r="I812" s="3">
        <f t="shared" si="12"/>
        <v>-1.627283800243607E-2</v>
      </c>
    </row>
    <row r="813" spans="1:9" x14ac:dyDescent="0.35">
      <c r="A813" s="1" t="s">
        <v>521</v>
      </c>
      <c r="B813" s="2">
        <v>43831</v>
      </c>
      <c r="C813">
        <v>201.91</v>
      </c>
      <c r="D813">
        <v>206.75</v>
      </c>
      <c r="E813">
        <v>224.2</v>
      </c>
      <c r="F813">
        <v>201.06</v>
      </c>
      <c r="G813" s="1" t="s">
        <v>578</v>
      </c>
      <c r="H813">
        <v>-1.6299999999999999E-2</v>
      </c>
      <c r="I813" s="3">
        <f t="shared" si="12"/>
        <v>-4.6753504036451871E-2</v>
      </c>
    </row>
    <row r="814" spans="1:9" x14ac:dyDescent="0.35">
      <c r="A814" s="1" t="s">
        <v>521</v>
      </c>
      <c r="B814" s="2">
        <v>43862</v>
      </c>
      <c r="C814">
        <v>192.47</v>
      </c>
      <c r="D814">
        <v>203.44</v>
      </c>
      <c r="E814">
        <v>218.76</v>
      </c>
      <c r="F814">
        <v>181.82</v>
      </c>
      <c r="G814" s="1" t="s">
        <v>577</v>
      </c>
      <c r="H814">
        <v>-4.6800000000000001E-2</v>
      </c>
      <c r="I814" s="3">
        <f t="shared" si="12"/>
        <v>-0.13337143450927411</v>
      </c>
    </row>
    <row r="815" spans="1:9" x14ac:dyDescent="0.35">
      <c r="A815" s="1" t="s">
        <v>521</v>
      </c>
      <c r="B815" s="2">
        <v>43891</v>
      </c>
      <c r="C815">
        <v>166.8</v>
      </c>
      <c r="D815">
        <v>194.03</v>
      </c>
      <c r="E815">
        <v>197.24</v>
      </c>
      <c r="F815">
        <v>137.1</v>
      </c>
      <c r="G815" s="1" t="s">
        <v>576</v>
      </c>
      <c r="H815">
        <v>-0.13339999999999999</v>
      </c>
      <c r="I815" s="3">
        <f t="shared" si="12"/>
        <v>0.22727817745803353</v>
      </c>
    </row>
    <row r="816" spans="1:9" x14ac:dyDescent="0.35">
      <c r="A816" s="1" t="s">
        <v>521</v>
      </c>
      <c r="B816" s="2">
        <v>43922</v>
      </c>
      <c r="C816">
        <v>204.71</v>
      </c>
      <c r="D816">
        <v>161.62</v>
      </c>
      <c r="E816">
        <v>209.69</v>
      </c>
      <c r="F816">
        <v>150.83000000000001</v>
      </c>
      <c r="G816" s="1" t="s">
        <v>575</v>
      </c>
      <c r="H816">
        <v>0.2273</v>
      </c>
      <c r="I816" s="3">
        <f t="shared" si="12"/>
        <v>9.9555468711836237E-2</v>
      </c>
    </row>
    <row r="817" spans="1:9" x14ac:dyDescent="0.35">
      <c r="A817" s="1" t="s">
        <v>521</v>
      </c>
      <c r="B817" s="2">
        <v>43952</v>
      </c>
      <c r="C817">
        <v>225.09</v>
      </c>
      <c r="D817">
        <v>201.6</v>
      </c>
      <c r="E817">
        <v>240.9</v>
      </c>
      <c r="F817">
        <v>198.76</v>
      </c>
      <c r="G817" s="1" t="s">
        <v>574</v>
      </c>
      <c r="H817">
        <v>9.9599999999999994E-2</v>
      </c>
      <c r="I817" s="3">
        <f t="shared" si="12"/>
        <v>8.7964814074369801E-3</v>
      </c>
    </row>
    <row r="818" spans="1:9" x14ac:dyDescent="0.35">
      <c r="A818" s="1" t="s">
        <v>521</v>
      </c>
      <c r="B818" s="2">
        <v>43983</v>
      </c>
      <c r="C818">
        <v>227.07</v>
      </c>
      <c r="D818">
        <v>224.59</v>
      </c>
      <c r="E818">
        <v>245.19</v>
      </c>
      <c r="F818">
        <v>207.11</v>
      </c>
      <c r="G818" s="1" t="s">
        <v>573</v>
      </c>
      <c r="H818">
        <v>8.8000000000000005E-3</v>
      </c>
      <c r="I818" s="3">
        <f t="shared" si="12"/>
        <v>0.11714449288765577</v>
      </c>
    </row>
    <row r="819" spans="1:9" x14ac:dyDescent="0.35">
      <c r="A819" s="1" t="s">
        <v>521</v>
      </c>
      <c r="B819" s="2">
        <v>44013</v>
      </c>
      <c r="C819">
        <v>253.67</v>
      </c>
      <c r="D819">
        <v>228.5</v>
      </c>
      <c r="E819">
        <v>255.85</v>
      </c>
      <c r="F819">
        <v>226.9</v>
      </c>
      <c r="G819" s="1" t="s">
        <v>572</v>
      </c>
      <c r="H819">
        <v>0.1171</v>
      </c>
      <c r="I819" s="3">
        <f t="shared" si="12"/>
        <v>0.15583238065202823</v>
      </c>
    </row>
    <row r="820" spans="1:9" x14ac:dyDescent="0.35">
      <c r="A820" s="1" t="s">
        <v>521</v>
      </c>
      <c r="B820" s="2">
        <v>44044</v>
      </c>
      <c r="C820">
        <v>293.2</v>
      </c>
      <c r="D820">
        <v>252.65</v>
      </c>
      <c r="E820">
        <v>304.67</v>
      </c>
      <c r="F820">
        <v>247.43</v>
      </c>
      <c r="G820" s="1" t="s">
        <v>571</v>
      </c>
      <c r="H820">
        <v>0.15579999999999999</v>
      </c>
      <c r="I820" s="3">
        <f t="shared" si="12"/>
        <v>-0.10675306957708053</v>
      </c>
    </row>
    <row r="821" spans="1:9" x14ac:dyDescent="0.35">
      <c r="A821" s="1" t="s">
        <v>521</v>
      </c>
      <c r="B821" s="2">
        <v>44075</v>
      </c>
      <c r="C821">
        <v>261.89999999999998</v>
      </c>
      <c r="D821">
        <v>294.70999999999998</v>
      </c>
      <c r="E821">
        <v>303.60000000000002</v>
      </c>
      <c r="F821">
        <v>244.13</v>
      </c>
      <c r="G821" s="1" t="s">
        <v>570</v>
      </c>
      <c r="H821">
        <v>-0.10680000000000001</v>
      </c>
      <c r="I821" s="3">
        <f t="shared" si="12"/>
        <v>4.6200840015274396E-3</v>
      </c>
    </row>
    <row r="822" spans="1:9" x14ac:dyDescent="0.35">
      <c r="A822" s="1" t="s">
        <v>521</v>
      </c>
      <c r="B822" s="2">
        <v>44105</v>
      </c>
      <c r="C822">
        <v>263.11</v>
      </c>
      <c r="D822">
        <v>265.35000000000002</v>
      </c>
      <c r="E822">
        <v>285.24</v>
      </c>
      <c r="F822">
        <v>254.82</v>
      </c>
      <c r="G822" s="1" t="s">
        <v>569</v>
      </c>
      <c r="H822">
        <v>4.5999999999999999E-3</v>
      </c>
      <c r="I822" s="3">
        <f t="shared" si="12"/>
        <v>5.2677587320892449E-2</v>
      </c>
    </row>
    <row r="823" spans="1:9" x14ac:dyDescent="0.35">
      <c r="A823" s="1" t="s">
        <v>521</v>
      </c>
      <c r="B823" s="2">
        <v>44136</v>
      </c>
      <c r="C823">
        <v>276.97000000000003</v>
      </c>
      <c r="D823">
        <v>264.60000000000002</v>
      </c>
      <c r="E823">
        <v>297.38</v>
      </c>
      <c r="F823">
        <v>257.33999999999997</v>
      </c>
      <c r="G823" s="1" t="s">
        <v>568</v>
      </c>
      <c r="H823">
        <v>5.2699999999999997E-2</v>
      </c>
      <c r="I823" s="3">
        <f t="shared" si="12"/>
        <v>-1.3756002455139553E-2</v>
      </c>
    </row>
    <row r="824" spans="1:9" x14ac:dyDescent="0.35">
      <c r="A824" s="1" t="s">
        <v>521</v>
      </c>
      <c r="B824" s="2">
        <v>44166</v>
      </c>
      <c r="C824">
        <v>273.16000000000003</v>
      </c>
      <c r="D824">
        <v>279.16000000000003</v>
      </c>
      <c r="E824">
        <v>291.77999999999997</v>
      </c>
      <c r="F824">
        <v>264.63</v>
      </c>
      <c r="G824" s="1" t="s">
        <v>567</v>
      </c>
      <c r="H824">
        <v>-1.38E-2</v>
      </c>
      <c r="I824" s="3">
        <f t="shared" si="12"/>
        <v>-5.4290525699224046E-2</v>
      </c>
    </row>
    <row r="825" spans="1:9" x14ac:dyDescent="0.35">
      <c r="A825" s="1" t="s">
        <v>521</v>
      </c>
      <c r="B825" s="2">
        <v>44197</v>
      </c>
      <c r="C825">
        <v>258.33</v>
      </c>
      <c r="D825">
        <v>274.77999999999997</v>
      </c>
      <c r="E825">
        <v>286.79000000000002</v>
      </c>
      <c r="F825">
        <v>244.61</v>
      </c>
      <c r="G825" s="1" t="s">
        <v>566</v>
      </c>
      <c r="H825">
        <v>-5.4300000000000001E-2</v>
      </c>
      <c r="I825" s="3">
        <f t="shared" si="12"/>
        <v>-2.7484225602910214E-3</v>
      </c>
    </row>
    <row r="826" spans="1:9" x14ac:dyDescent="0.35">
      <c r="A826" s="1" t="s">
        <v>521</v>
      </c>
      <c r="B826" s="2">
        <v>44228</v>
      </c>
      <c r="C826">
        <v>257.62</v>
      </c>
      <c r="D826">
        <v>259.52</v>
      </c>
      <c r="E826">
        <v>276.60000000000002</v>
      </c>
      <c r="F826">
        <v>254.04</v>
      </c>
      <c r="G826" s="1" t="s">
        <v>565</v>
      </c>
      <c r="H826">
        <v>-2.7000000000000001E-3</v>
      </c>
      <c r="I826" s="3">
        <f t="shared" si="12"/>
        <v>0.14327303780762352</v>
      </c>
    </row>
    <row r="827" spans="1:9" x14ac:dyDescent="0.35">
      <c r="A827" s="1" t="s">
        <v>521</v>
      </c>
      <c r="B827" s="2">
        <v>44256</v>
      </c>
      <c r="C827">
        <v>294.52999999999997</v>
      </c>
      <c r="D827">
        <v>260.82</v>
      </c>
      <c r="E827">
        <v>299.7</v>
      </c>
      <c r="F827">
        <v>253.5</v>
      </c>
      <c r="G827" s="1" t="s">
        <v>564</v>
      </c>
      <c r="H827">
        <v>0.14330000000000001</v>
      </c>
      <c r="I827" s="3">
        <f t="shared" si="12"/>
        <v>0.10372457814144574</v>
      </c>
    </row>
    <row r="828" spans="1:9" x14ac:dyDescent="0.35">
      <c r="A828" s="1" t="s">
        <v>521</v>
      </c>
      <c r="B828" s="2">
        <v>44287</v>
      </c>
      <c r="C828">
        <v>325.08</v>
      </c>
      <c r="D828">
        <v>298.39999999999998</v>
      </c>
      <c r="E828">
        <v>331.81</v>
      </c>
      <c r="F828">
        <v>296.04000000000002</v>
      </c>
      <c r="G828" s="1" t="s">
        <v>563</v>
      </c>
      <c r="H828">
        <v>0.1037</v>
      </c>
      <c r="I828" s="3">
        <f t="shared" si="12"/>
        <v>1.1228005414052031E-2</v>
      </c>
    </row>
    <row r="829" spans="1:9" x14ac:dyDescent="0.35">
      <c r="A829" s="1" t="s">
        <v>521</v>
      </c>
      <c r="B829" s="2">
        <v>44317</v>
      </c>
      <c r="C829">
        <v>328.73</v>
      </c>
      <c r="D829">
        <v>326.17</v>
      </c>
      <c r="E829">
        <v>333.78</v>
      </c>
      <c r="F829">
        <v>298.19</v>
      </c>
      <c r="G829" s="1" t="s">
        <v>562</v>
      </c>
      <c r="H829">
        <v>1.12E-2</v>
      </c>
      <c r="I829" s="3">
        <f t="shared" si="12"/>
        <v>5.7737352842758376E-2</v>
      </c>
    </row>
    <row r="830" spans="1:9" x14ac:dyDescent="0.35">
      <c r="A830" s="1" t="s">
        <v>521</v>
      </c>
      <c r="B830" s="2">
        <v>44348</v>
      </c>
      <c r="C830">
        <v>347.71</v>
      </c>
      <c r="D830">
        <v>330.15</v>
      </c>
      <c r="E830">
        <v>358.14</v>
      </c>
      <c r="F830">
        <v>323.48</v>
      </c>
      <c r="G830" s="1" t="s">
        <v>561</v>
      </c>
      <c r="H830">
        <v>5.7700000000000001E-2</v>
      </c>
      <c r="I830" s="3">
        <f t="shared" si="12"/>
        <v>2.4704495125248145E-2</v>
      </c>
    </row>
    <row r="831" spans="1:9" x14ac:dyDescent="0.35">
      <c r="A831" s="1" t="s">
        <v>521</v>
      </c>
      <c r="B831" s="2">
        <v>44378</v>
      </c>
      <c r="C831">
        <v>356.3</v>
      </c>
      <c r="D831">
        <v>346.82</v>
      </c>
      <c r="E831">
        <v>377.55</v>
      </c>
      <c r="F831">
        <v>334.5</v>
      </c>
      <c r="G831" s="1" t="s">
        <v>560</v>
      </c>
      <c r="H831">
        <v>2.47E-2</v>
      </c>
      <c r="I831" s="3">
        <f t="shared" si="12"/>
        <v>6.4776873421274167E-2</v>
      </c>
    </row>
    <row r="832" spans="1:9" x14ac:dyDescent="0.35">
      <c r="A832" s="1" t="s">
        <v>521</v>
      </c>
      <c r="B832" s="2">
        <v>44409</v>
      </c>
      <c r="C832">
        <v>379.38</v>
      </c>
      <c r="D832">
        <v>358.1</v>
      </c>
      <c r="E832">
        <v>382.76</v>
      </c>
      <c r="F832">
        <v>347.7</v>
      </c>
      <c r="G832" s="1" t="s">
        <v>559</v>
      </c>
      <c r="H832">
        <v>6.4799999999999996E-2</v>
      </c>
      <c r="I832" s="3">
        <f t="shared" si="12"/>
        <v>-0.10540882492487745</v>
      </c>
    </row>
    <row r="833" spans="1:9" x14ac:dyDescent="0.35">
      <c r="A833" s="1" t="s">
        <v>521</v>
      </c>
      <c r="B833" s="2">
        <v>44440</v>
      </c>
      <c r="C833">
        <v>339.39</v>
      </c>
      <c r="D833">
        <v>379.59</v>
      </c>
      <c r="E833">
        <v>384.33</v>
      </c>
      <c r="F833">
        <v>338.15</v>
      </c>
      <c r="G833" s="1" t="s">
        <v>558</v>
      </c>
      <c r="H833">
        <v>-0.10539999999999999</v>
      </c>
      <c r="I833" s="3">
        <f t="shared" si="12"/>
        <v>-4.6613041044226387E-2</v>
      </c>
    </row>
    <row r="834" spans="1:9" x14ac:dyDescent="0.35">
      <c r="A834" s="1" t="s">
        <v>521</v>
      </c>
      <c r="B834" s="2">
        <v>44470</v>
      </c>
      <c r="C834">
        <v>323.57</v>
      </c>
      <c r="D834">
        <v>341.61</v>
      </c>
      <c r="E834">
        <v>345.02</v>
      </c>
      <c r="F834">
        <v>308.11</v>
      </c>
      <c r="G834" s="1" t="s">
        <v>557</v>
      </c>
      <c r="H834">
        <v>-4.6600000000000003E-2</v>
      </c>
      <c r="I834" s="3">
        <f t="shared" ref="I834:I897" si="13">IF(A835=A834, (C835-C834)/C834, 0)</f>
        <v>2.7505640201501572E-3</v>
      </c>
    </row>
    <row r="835" spans="1:9" x14ac:dyDescent="0.35">
      <c r="A835" s="1" t="s">
        <v>521</v>
      </c>
      <c r="B835" s="2">
        <v>44501</v>
      </c>
      <c r="C835">
        <v>324.45999999999998</v>
      </c>
      <c r="D835">
        <v>326.04000000000002</v>
      </c>
      <c r="E835">
        <v>353.83</v>
      </c>
      <c r="F835">
        <v>323.2</v>
      </c>
      <c r="G835" s="1" t="s">
        <v>556</v>
      </c>
      <c r="H835">
        <v>2.8E-3</v>
      </c>
      <c r="I835" s="3">
        <f t="shared" si="13"/>
        <v>3.6645503297787228E-2</v>
      </c>
    </row>
    <row r="836" spans="1:9" x14ac:dyDescent="0.35">
      <c r="A836" s="1" t="s">
        <v>521</v>
      </c>
      <c r="B836" s="2">
        <v>44531</v>
      </c>
      <c r="C836">
        <v>336.35</v>
      </c>
      <c r="D836">
        <v>330.29</v>
      </c>
      <c r="E836">
        <v>352.71</v>
      </c>
      <c r="F836">
        <v>299.5</v>
      </c>
      <c r="G836" s="1" t="s">
        <v>555</v>
      </c>
      <c r="H836">
        <v>3.6600000000000001E-2</v>
      </c>
      <c r="I836" s="3">
        <f t="shared" si="13"/>
        <v>-6.864872900252722E-2</v>
      </c>
    </row>
    <row r="837" spans="1:9" x14ac:dyDescent="0.35">
      <c r="A837" s="1" t="s">
        <v>521</v>
      </c>
      <c r="B837" s="2">
        <v>44562</v>
      </c>
      <c r="C837">
        <v>313.26</v>
      </c>
      <c r="D837">
        <v>338.3</v>
      </c>
      <c r="E837">
        <v>343.09</v>
      </c>
      <c r="F837">
        <v>289.01</v>
      </c>
      <c r="G837" s="1" t="s">
        <v>554</v>
      </c>
      <c r="H837">
        <v>-6.8599999999999994E-2</v>
      </c>
      <c r="I837" s="3">
        <f t="shared" si="13"/>
        <v>-0.32634233544020941</v>
      </c>
    </row>
    <row r="838" spans="1:9" x14ac:dyDescent="0.35">
      <c r="A838" s="1" t="s">
        <v>521</v>
      </c>
      <c r="B838" s="2">
        <v>44593</v>
      </c>
      <c r="C838">
        <v>211.03</v>
      </c>
      <c r="D838">
        <v>314.55</v>
      </c>
      <c r="E838">
        <v>328</v>
      </c>
      <c r="F838">
        <v>190.22</v>
      </c>
      <c r="G838" s="1" t="s">
        <v>83</v>
      </c>
      <c r="H838">
        <v>-0.32629999999999998</v>
      </c>
      <c r="I838" s="3">
        <f t="shared" si="13"/>
        <v>5.3689048950386259E-2</v>
      </c>
    </row>
    <row r="839" spans="1:9" x14ac:dyDescent="0.35">
      <c r="A839" s="1" t="s">
        <v>521</v>
      </c>
      <c r="B839" s="2">
        <v>44621</v>
      </c>
      <c r="C839">
        <v>222.36</v>
      </c>
      <c r="D839">
        <v>209.87</v>
      </c>
      <c r="E839">
        <v>231.15</v>
      </c>
      <c r="F839">
        <v>185.82</v>
      </c>
      <c r="G839" s="1" t="s">
        <v>553</v>
      </c>
      <c r="H839">
        <v>5.3699999999999998E-2</v>
      </c>
      <c r="I839" s="3">
        <f t="shared" si="13"/>
        <v>-9.844396474186011E-2</v>
      </c>
    </row>
    <row r="840" spans="1:9" x14ac:dyDescent="0.35">
      <c r="A840" s="1" t="s">
        <v>521</v>
      </c>
      <c r="B840" s="2">
        <v>44652</v>
      </c>
      <c r="C840">
        <v>200.47</v>
      </c>
      <c r="D840">
        <v>224.55</v>
      </c>
      <c r="E840">
        <v>236.86</v>
      </c>
      <c r="F840">
        <v>169</v>
      </c>
      <c r="G840" s="1" t="s">
        <v>552</v>
      </c>
      <c r="H840">
        <v>-9.8400000000000001E-2</v>
      </c>
      <c r="I840" s="3">
        <f t="shared" si="13"/>
        <v>-3.4069935651219699E-2</v>
      </c>
    </row>
    <row r="841" spans="1:9" x14ac:dyDescent="0.35">
      <c r="A841" s="1" t="s">
        <v>521</v>
      </c>
      <c r="B841" s="2">
        <v>44682</v>
      </c>
      <c r="C841">
        <v>193.64</v>
      </c>
      <c r="D841">
        <v>201.16</v>
      </c>
      <c r="E841">
        <v>224.3</v>
      </c>
      <c r="F841">
        <v>176.11</v>
      </c>
      <c r="G841" s="1" t="s">
        <v>551</v>
      </c>
      <c r="H841">
        <v>-3.4099999999999998E-2</v>
      </c>
      <c r="I841" s="3">
        <f t="shared" si="13"/>
        <v>-0.16726915926461469</v>
      </c>
    </row>
    <row r="842" spans="1:9" x14ac:dyDescent="0.35">
      <c r="A842" s="1" t="s">
        <v>521</v>
      </c>
      <c r="B842" s="2">
        <v>44713</v>
      </c>
      <c r="C842">
        <v>161.25</v>
      </c>
      <c r="D842">
        <v>196.51</v>
      </c>
      <c r="E842">
        <v>202.03</v>
      </c>
      <c r="F842">
        <v>154.25</v>
      </c>
      <c r="G842" s="1" t="s">
        <v>550</v>
      </c>
      <c r="H842">
        <v>-0.1673</v>
      </c>
      <c r="I842" s="3">
        <f t="shared" si="13"/>
        <v>-1.3333333333333369E-2</v>
      </c>
    </row>
    <row r="843" spans="1:9" x14ac:dyDescent="0.35">
      <c r="A843" s="1" t="s">
        <v>521</v>
      </c>
      <c r="B843" s="2">
        <v>44743</v>
      </c>
      <c r="C843">
        <v>159.1</v>
      </c>
      <c r="D843">
        <v>160.31</v>
      </c>
      <c r="E843">
        <v>183.85</v>
      </c>
      <c r="F843">
        <v>154.85</v>
      </c>
      <c r="G843" s="1" t="s">
        <v>549</v>
      </c>
      <c r="H843">
        <v>-1.3299999999999999E-2</v>
      </c>
      <c r="I843" s="3">
        <f t="shared" si="13"/>
        <v>2.4072910119421826E-2</v>
      </c>
    </row>
    <row r="844" spans="1:9" x14ac:dyDescent="0.35">
      <c r="A844" s="1" t="s">
        <v>521</v>
      </c>
      <c r="B844" s="2">
        <v>44774</v>
      </c>
      <c r="C844">
        <v>162.93</v>
      </c>
      <c r="D844">
        <v>157.25</v>
      </c>
      <c r="E844">
        <v>183.1</v>
      </c>
      <c r="F844">
        <v>155.22999999999999</v>
      </c>
      <c r="G844" s="1" t="s">
        <v>548</v>
      </c>
      <c r="H844">
        <v>2.41E-2</v>
      </c>
      <c r="I844" s="3">
        <f t="shared" si="13"/>
        <v>-0.16724973915178296</v>
      </c>
    </row>
    <row r="845" spans="1:9" x14ac:dyDescent="0.35">
      <c r="A845" s="1" t="s">
        <v>521</v>
      </c>
      <c r="B845" s="2">
        <v>44805</v>
      </c>
      <c r="C845">
        <v>135.68</v>
      </c>
      <c r="D845">
        <v>163.58000000000001</v>
      </c>
      <c r="E845">
        <v>171.39</v>
      </c>
      <c r="F845">
        <v>134.12</v>
      </c>
      <c r="G845" s="1" t="s">
        <v>547</v>
      </c>
      <c r="H845">
        <v>-0.16719999999999999</v>
      </c>
      <c r="I845" s="3">
        <f t="shared" si="13"/>
        <v>-0.31338443396226423</v>
      </c>
    </row>
    <row r="846" spans="1:9" x14ac:dyDescent="0.35">
      <c r="A846" s="1" t="s">
        <v>521</v>
      </c>
      <c r="B846" s="2">
        <v>44835</v>
      </c>
      <c r="C846">
        <v>93.16</v>
      </c>
      <c r="D846">
        <v>137.13999999999999</v>
      </c>
      <c r="E846">
        <v>142.38999999999999</v>
      </c>
      <c r="F846">
        <v>92.6</v>
      </c>
      <c r="G846" s="1" t="s">
        <v>120</v>
      </c>
      <c r="H846">
        <v>-0.31340000000000001</v>
      </c>
      <c r="I846" s="3">
        <f t="shared" si="13"/>
        <v>0.26771146414770286</v>
      </c>
    </row>
    <row r="847" spans="1:9" x14ac:dyDescent="0.35">
      <c r="A847" s="1" t="s">
        <v>521</v>
      </c>
      <c r="B847" s="2">
        <v>44866</v>
      </c>
      <c r="C847">
        <v>118.1</v>
      </c>
      <c r="D847">
        <v>94.33</v>
      </c>
      <c r="E847">
        <v>118.74</v>
      </c>
      <c r="F847">
        <v>88.09</v>
      </c>
      <c r="G847" s="1" t="s">
        <v>127</v>
      </c>
      <c r="H847">
        <v>0.26769999999999999</v>
      </c>
      <c r="I847" s="3">
        <f t="shared" si="13"/>
        <v>1.8966977138018707E-2</v>
      </c>
    </row>
    <row r="848" spans="1:9" x14ac:dyDescent="0.35">
      <c r="A848" s="1" t="s">
        <v>521</v>
      </c>
      <c r="B848" s="2">
        <v>44896</v>
      </c>
      <c r="C848">
        <v>120.34</v>
      </c>
      <c r="D848">
        <v>119.2</v>
      </c>
      <c r="E848">
        <v>124.67</v>
      </c>
      <c r="F848">
        <v>112.46</v>
      </c>
      <c r="G848" s="1" t="s">
        <v>546</v>
      </c>
      <c r="H848">
        <v>1.9E-2</v>
      </c>
      <c r="I848" s="3">
        <f t="shared" si="13"/>
        <v>0.23790925710486949</v>
      </c>
    </row>
    <row r="849" spans="1:9" x14ac:dyDescent="0.35">
      <c r="A849" s="1" t="s">
        <v>521</v>
      </c>
      <c r="B849" s="2">
        <v>44927</v>
      </c>
      <c r="C849">
        <v>148.97</v>
      </c>
      <c r="D849">
        <v>122.82</v>
      </c>
      <c r="E849">
        <v>153.19</v>
      </c>
      <c r="F849">
        <v>122.28</v>
      </c>
      <c r="G849" s="1" t="s">
        <v>545</v>
      </c>
      <c r="H849">
        <v>0.2379</v>
      </c>
      <c r="I849" s="3">
        <f t="shared" si="13"/>
        <v>0.17433040209438141</v>
      </c>
    </row>
    <row r="850" spans="1:9" x14ac:dyDescent="0.35">
      <c r="A850" s="1" t="s">
        <v>521</v>
      </c>
      <c r="B850" s="2">
        <v>44958</v>
      </c>
      <c r="C850">
        <v>174.94</v>
      </c>
      <c r="D850">
        <v>148.03</v>
      </c>
      <c r="E850">
        <v>197.16</v>
      </c>
      <c r="F850">
        <v>147.06</v>
      </c>
      <c r="G850" s="1" t="s">
        <v>544</v>
      </c>
      <c r="H850">
        <v>0.17430000000000001</v>
      </c>
      <c r="I850" s="3">
        <f t="shared" si="13"/>
        <v>0.2115010860866583</v>
      </c>
    </row>
    <row r="851" spans="1:9" x14ac:dyDescent="0.35">
      <c r="A851" s="1" t="s">
        <v>521</v>
      </c>
      <c r="B851" s="2">
        <v>44986</v>
      </c>
      <c r="C851">
        <v>211.94</v>
      </c>
      <c r="D851">
        <v>174.59</v>
      </c>
      <c r="E851">
        <v>212.17</v>
      </c>
      <c r="F851">
        <v>171.43</v>
      </c>
      <c r="G851" s="1" t="s">
        <v>543</v>
      </c>
      <c r="H851">
        <v>0.21149999999999999</v>
      </c>
      <c r="I851" s="3">
        <f t="shared" si="13"/>
        <v>0.13390582240256674</v>
      </c>
    </row>
    <row r="852" spans="1:9" x14ac:dyDescent="0.35">
      <c r="A852" s="1" t="s">
        <v>521</v>
      </c>
      <c r="B852" s="2">
        <v>45017</v>
      </c>
      <c r="C852">
        <v>240.32</v>
      </c>
      <c r="D852">
        <v>208.84</v>
      </c>
      <c r="E852">
        <v>241.68</v>
      </c>
      <c r="F852">
        <v>207.13</v>
      </c>
      <c r="G852" s="1" t="s">
        <v>542</v>
      </c>
      <c r="H852">
        <v>0.13389999999999999</v>
      </c>
      <c r="I852" s="3">
        <f t="shared" si="13"/>
        <v>0.10153129161118524</v>
      </c>
    </row>
    <row r="853" spans="1:9" x14ac:dyDescent="0.35">
      <c r="A853" s="1" t="s">
        <v>521</v>
      </c>
      <c r="B853" s="2">
        <v>45047</v>
      </c>
      <c r="C853">
        <v>264.72000000000003</v>
      </c>
      <c r="D853">
        <v>238.62</v>
      </c>
      <c r="E853">
        <v>268.64999999999998</v>
      </c>
      <c r="F853">
        <v>229.85</v>
      </c>
      <c r="G853" s="1" t="s">
        <v>541</v>
      </c>
      <c r="H853">
        <v>0.10150000000000001</v>
      </c>
      <c r="I853" s="3">
        <f t="shared" si="13"/>
        <v>8.4088848594741569E-2</v>
      </c>
    </row>
    <row r="854" spans="1:9" x14ac:dyDescent="0.35">
      <c r="A854" s="1" t="s">
        <v>521</v>
      </c>
      <c r="B854" s="2">
        <v>45078</v>
      </c>
      <c r="C854">
        <v>286.98</v>
      </c>
      <c r="D854">
        <v>265.89999999999998</v>
      </c>
      <c r="E854">
        <v>289.79000000000002</v>
      </c>
      <c r="F854">
        <v>258.88</v>
      </c>
      <c r="G854" s="1" t="s">
        <v>540</v>
      </c>
      <c r="H854">
        <v>8.4099999999999994E-2</v>
      </c>
      <c r="I854" s="3">
        <f t="shared" si="13"/>
        <v>0.11018189420865566</v>
      </c>
    </row>
    <row r="855" spans="1:9" x14ac:dyDescent="0.35">
      <c r="A855" s="1" t="s">
        <v>521</v>
      </c>
      <c r="B855" s="2">
        <v>45108</v>
      </c>
      <c r="C855">
        <v>318.60000000000002</v>
      </c>
      <c r="D855">
        <v>286.7</v>
      </c>
      <c r="E855">
        <v>326.2</v>
      </c>
      <c r="F855">
        <v>284.85000000000002</v>
      </c>
      <c r="G855" s="1" t="s">
        <v>539</v>
      </c>
      <c r="H855">
        <v>0.11020000000000001</v>
      </c>
      <c r="I855" s="3">
        <f t="shared" si="13"/>
        <v>-7.1280602636534948E-2</v>
      </c>
    </row>
    <row r="856" spans="1:9" x14ac:dyDescent="0.35">
      <c r="A856" s="1" t="s">
        <v>521</v>
      </c>
      <c r="B856" s="2">
        <v>45139</v>
      </c>
      <c r="C856">
        <v>295.89</v>
      </c>
      <c r="D856">
        <v>317.54000000000002</v>
      </c>
      <c r="E856">
        <v>324.14</v>
      </c>
      <c r="F856">
        <v>274.38</v>
      </c>
      <c r="G856" s="1" t="s">
        <v>538</v>
      </c>
      <c r="H856">
        <v>-7.1300000000000002E-2</v>
      </c>
      <c r="I856" s="3">
        <f t="shared" si="13"/>
        <v>1.4600020277805919E-2</v>
      </c>
    </row>
    <row r="857" spans="1:9" x14ac:dyDescent="0.35">
      <c r="A857" s="1" t="s">
        <v>521</v>
      </c>
      <c r="B857" s="2">
        <v>45170</v>
      </c>
      <c r="C857">
        <v>300.20999999999998</v>
      </c>
      <c r="D857">
        <v>299.37</v>
      </c>
      <c r="E857">
        <v>312.87</v>
      </c>
      <c r="F857">
        <v>286.79000000000002</v>
      </c>
      <c r="G857" s="1" t="s">
        <v>537</v>
      </c>
      <c r="H857">
        <v>1.46E-2</v>
      </c>
      <c r="I857" s="3">
        <f t="shared" si="13"/>
        <v>3.5308617301222558E-3</v>
      </c>
    </row>
    <row r="858" spans="1:9" x14ac:dyDescent="0.35">
      <c r="A858" s="1" t="s">
        <v>521</v>
      </c>
      <c r="B858" s="2">
        <v>45200</v>
      </c>
      <c r="C858">
        <v>301.27</v>
      </c>
      <c r="D858">
        <v>302.74</v>
      </c>
      <c r="E858">
        <v>330.54</v>
      </c>
      <c r="F858">
        <v>279.39999999999998</v>
      </c>
      <c r="G858" s="1" t="s">
        <v>536</v>
      </c>
      <c r="H858">
        <v>3.5000000000000001E-3</v>
      </c>
      <c r="I858" s="3">
        <f t="shared" si="13"/>
        <v>8.5903010588508633E-2</v>
      </c>
    </row>
    <row r="859" spans="1:9" x14ac:dyDescent="0.35">
      <c r="A859" s="1" t="s">
        <v>521</v>
      </c>
      <c r="B859" s="2">
        <v>45231</v>
      </c>
      <c r="C859">
        <v>327.14999999999998</v>
      </c>
      <c r="D859">
        <v>301.85000000000002</v>
      </c>
      <c r="E859">
        <v>342.92</v>
      </c>
      <c r="F859">
        <v>301.85000000000002</v>
      </c>
      <c r="G859" s="1" t="s">
        <v>535</v>
      </c>
      <c r="H859">
        <v>8.5900000000000004E-2</v>
      </c>
      <c r="I859" s="3">
        <f t="shared" si="13"/>
        <v>8.1950175760354585E-2</v>
      </c>
    </row>
    <row r="860" spans="1:9" x14ac:dyDescent="0.35">
      <c r="A860" s="1" t="s">
        <v>521</v>
      </c>
      <c r="B860" s="2">
        <v>45261</v>
      </c>
      <c r="C860">
        <v>353.96</v>
      </c>
      <c r="D860">
        <v>325.48</v>
      </c>
      <c r="E860">
        <v>361.9</v>
      </c>
      <c r="F860">
        <v>313.66000000000003</v>
      </c>
      <c r="G860" s="1" t="s">
        <v>534</v>
      </c>
      <c r="H860">
        <v>8.2000000000000003E-2</v>
      </c>
      <c r="I860" s="3">
        <f t="shared" si="13"/>
        <v>0.10221493954119112</v>
      </c>
    </row>
    <row r="861" spans="1:9" x14ac:dyDescent="0.35">
      <c r="A861" s="1" t="s">
        <v>521</v>
      </c>
      <c r="B861" s="2">
        <v>45292</v>
      </c>
      <c r="C861">
        <v>390.14</v>
      </c>
      <c r="D861">
        <v>351.32</v>
      </c>
      <c r="E861">
        <v>406.36</v>
      </c>
      <c r="F861">
        <v>340.01</v>
      </c>
      <c r="G861" s="1" t="s">
        <v>533</v>
      </c>
      <c r="H861">
        <v>0.1022</v>
      </c>
      <c r="I861" s="3">
        <f t="shared" si="13"/>
        <v>0.25629261290818683</v>
      </c>
    </row>
    <row r="862" spans="1:9" x14ac:dyDescent="0.35">
      <c r="A862" s="1" t="s">
        <v>521</v>
      </c>
      <c r="B862" s="2">
        <v>45323</v>
      </c>
      <c r="C862">
        <v>490.13</v>
      </c>
      <c r="D862">
        <v>393.94</v>
      </c>
      <c r="E862">
        <v>494.36</v>
      </c>
      <c r="F862">
        <v>393.05</v>
      </c>
      <c r="G862" s="1" t="s">
        <v>532</v>
      </c>
      <c r="H862">
        <v>0.25629999999999997</v>
      </c>
      <c r="I862" s="3">
        <f t="shared" si="13"/>
        <v>-9.2832513822863547E-3</v>
      </c>
    </row>
    <row r="863" spans="1:9" x14ac:dyDescent="0.35">
      <c r="A863" s="1" t="s">
        <v>521</v>
      </c>
      <c r="B863" s="2">
        <v>45352</v>
      </c>
      <c r="C863">
        <v>485.58</v>
      </c>
      <c r="D863">
        <v>492.11</v>
      </c>
      <c r="E863">
        <v>523.57000000000005</v>
      </c>
      <c r="F863">
        <v>476</v>
      </c>
      <c r="G863" s="1" t="s">
        <v>531</v>
      </c>
      <c r="H863">
        <v>-9.2999999999999992E-3</v>
      </c>
      <c r="I863" s="3">
        <f t="shared" si="13"/>
        <v>-0.11411096008896571</v>
      </c>
    </row>
    <row r="864" spans="1:9" x14ac:dyDescent="0.35">
      <c r="A864" s="1" t="s">
        <v>521</v>
      </c>
      <c r="B864" s="2">
        <v>45383</v>
      </c>
      <c r="C864">
        <v>430.17</v>
      </c>
      <c r="D864">
        <v>487.2</v>
      </c>
      <c r="E864">
        <v>531.49</v>
      </c>
      <c r="F864">
        <v>414.5</v>
      </c>
      <c r="G864" s="1" t="s">
        <v>530</v>
      </c>
      <c r="H864">
        <v>-0.11409999999999999</v>
      </c>
      <c r="I864" s="3">
        <f t="shared" si="13"/>
        <v>8.5222121486853958E-2</v>
      </c>
    </row>
    <row r="865" spans="1:9" x14ac:dyDescent="0.35">
      <c r="A865" s="1" t="s">
        <v>521</v>
      </c>
      <c r="B865" s="2">
        <v>45413</v>
      </c>
      <c r="C865">
        <v>466.83</v>
      </c>
      <c r="D865">
        <v>428.6</v>
      </c>
      <c r="E865">
        <v>482.5</v>
      </c>
      <c r="F865">
        <v>427.11</v>
      </c>
      <c r="G865" s="1" t="s">
        <v>529</v>
      </c>
      <c r="H865">
        <v>8.5199999999999998E-2</v>
      </c>
      <c r="I865" s="3">
        <f t="shared" si="13"/>
        <v>8.0093395882869664E-2</v>
      </c>
    </row>
    <row r="866" spans="1:9" x14ac:dyDescent="0.35">
      <c r="A866" s="1" t="s">
        <v>521</v>
      </c>
      <c r="B866" s="2">
        <v>45444</v>
      </c>
      <c r="C866">
        <v>504.22</v>
      </c>
      <c r="D866">
        <v>470.86</v>
      </c>
      <c r="E866">
        <v>522.88</v>
      </c>
      <c r="F866">
        <v>468.24</v>
      </c>
      <c r="G866" s="1" t="s">
        <v>528</v>
      </c>
      <c r="H866">
        <v>8.0100000000000005E-2</v>
      </c>
      <c r="I866" s="3">
        <f t="shared" si="13"/>
        <v>-5.8288048867557896E-2</v>
      </c>
    </row>
    <row r="867" spans="1:9" x14ac:dyDescent="0.35">
      <c r="A867" s="1" t="s">
        <v>521</v>
      </c>
      <c r="B867" s="2">
        <v>45474</v>
      </c>
      <c r="C867">
        <v>474.83</v>
      </c>
      <c r="D867">
        <v>504.95</v>
      </c>
      <c r="E867">
        <v>542.80999999999995</v>
      </c>
      <c r="F867">
        <v>442.65</v>
      </c>
      <c r="G867" s="1" t="s">
        <v>527</v>
      </c>
      <c r="H867">
        <v>-5.8299999999999998E-2</v>
      </c>
      <c r="I867" s="3">
        <f t="shared" si="13"/>
        <v>9.7887665059073689E-2</v>
      </c>
    </row>
    <row r="868" spans="1:9" x14ac:dyDescent="0.35">
      <c r="A868" s="1" t="s">
        <v>521</v>
      </c>
      <c r="B868" s="2">
        <v>45505</v>
      </c>
      <c r="C868">
        <v>521.30999999999995</v>
      </c>
      <c r="D868">
        <v>521</v>
      </c>
      <c r="E868">
        <v>544.23</v>
      </c>
      <c r="F868">
        <v>450.8</v>
      </c>
      <c r="G868" s="1" t="s">
        <v>526</v>
      </c>
      <c r="H868">
        <v>9.7900000000000001E-2</v>
      </c>
      <c r="I868" s="3">
        <f t="shared" si="13"/>
        <v>9.8079837332873177E-2</v>
      </c>
    </row>
    <row r="869" spans="1:9" x14ac:dyDescent="0.35">
      <c r="A869" s="1" t="s">
        <v>521</v>
      </c>
      <c r="B869" s="2">
        <v>45536</v>
      </c>
      <c r="C869">
        <v>572.44000000000005</v>
      </c>
      <c r="D869">
        <v>519.64</v>
      </c>
      <c r="E869">
        <v>577.4</v>
      </c>
      <c r="F869">
        <v>495.6</v>
      </c>
      <c r="G869" s="1" t="s">
        <v>525</v>
      </c>
      <c r="H869">
        <v>9.8100000000000007E-2</v>
      </c>
      <c r="I869" s="3">
        <f t="shared" si="13"/>
        <v>-8.4899727482356455E-3</v>
      </c>
    </row>
    <row r="870" spans="1:9" x14ac:dyDescent="0.35">
      <c r="A870" s="1" t="s">
        <v>521</v>
      </c>
      <c r="B870" s="2">
        <v>45566</v>
      </c>
      <c r="C870">
        <v>567.58000000000004</v>
      </c>
      <c r="D870">
        <v>577.98</v>
      </c>
      <c r="E870">
        <v>602.95000000000005</v>
      </c>
      <c r="F870">
        <v>561.52</v>
      </c>
      <c r="G870" s="1" t="s">
        <v>524</v>
      </c>
      <c r="H870">
        <v>-8.5000000000000006E-3</v>
      </c>
      <c r="I870" s="3">
        <f t="shared" si="13"/>
        <v>1.1874977976672908E-2</v>
      </c>
    </row>
    <row r="871" spans="1:9" x14ac:dyDescent="0.35">
      <c r="A871" s="1" t="s">
        <v>521</v>
      </c>
      <c r="B871" s="2">
        <v>45597</v>
      </c>
      <c r="C871">
        <v>574.32000000000005</v>
      </c>
      <c r="D871">
        <v>567.6</v>
      </c>
      <c r="E871">
        <v>599.66</v>
      </c>
      <c r="F871">
        <v>549.04999999999995</v>
      </c>
      <c r="G871" s="1" t="s">
        <v>523</v>
      </c>
      <c r="H871">
        <v>1.1900000000000001E-2</v>
      </c>
      <c r="I871" s="3">
        <f t="shared" si="13"/>
        <v>1.9483911408274029E-2</v>
      </c>
    </row>
    <row r="872" spans="1:9" x14ac:dyDescent="0.35">
      <c r="A872" s="1" t="s">
        <v>521</v>
      </c>
      <c r="B872" s="2">
        <v>45627</v>
      </c>
      <c r="C872">
        <v>585.51</v>
      </c>
      <c r="D872">
        <v>577.5</v>
      </c>
      <c r="E872">
        <v>638.4</v>
      </c>
      <c r="F872">
        <v>575.57000000000005</v>
      </c>
      <c r="G872" s="1" t="s">
        <v>522</v>
      </c>
      <c r="H872">
        <v>1.95E-2</v>
      </c>
      <c r="I872" s="3">
        <f t="shared" si="13"/>
        <v>0</v>
      </c>
    </row>
    <row r="873" spans="1:9" x14ac:dyDescent="0.35">
      <c r="A873" s="1" t="s">
        <v>652</v>
      </c>
      <c r="B873" s="2">
        <v>38353</v>
      </c>
      <c r="C873">
        <v>26.28</v>
      </c>
      <c r="D873">
        <v>26.8</v>
      </c>
      <c r="E873">
        <v>27.1</v>
      </c>
      <c r="F873">
        <v>25.64</v>
      </c>
      <c r="G873" s="1" t="s">
        <v>248</v>
      </c>
      <c r="H873">
        <v>-1.6500000000000001E-2</v>
      </c>
      <c r="I873" s="3">
        <f t="shared" si="13"/>
        <v>-4.2617960426179644E-2</v>
      </c>
    </row>
    <row r="874" spans="1:9" x14ac:dyDescent="0.35">
      <c r="A874" s="1" t="s">
        <v>652</v>
      </c>
      <c r="B874" s="2">
        <v>38384</v>
      </c>
      <c r="C874">
        <v>25.16</v>
      </c>
      <c r="D874">
        <v>26.25</v>
      </c>
      <c r="E874">
        <v>26.5</v>
      </c>
      <c r="F874">
        <v>25.13</v>
      </c>
      <c r="G874" s="1" t="s">
        <v>121</v>
      </c>
      <c r="H874">
        <v>-4.2599999999999999E-2</v>
      </c>
      <c r="I874" s="3">
        <f t="shared" si="13"/>
        <v>-3.9348171701112815E-2</v>
      </c>
    </row>
    <row r="875" spans="1:9" x14ac:dyDescent="0.35">
      <c r="A875" s="1" t="s">
        <v>652</v>
      </c>
      <c r="B875" s="2">
        <v>38412</v>
      </c>
      <c r="C875">
        <v>24.17</v>
      </c>
      <c r="D875">
        <v>25.19</v>
      </c>
      <c r="E875">
        <v>25.79</v>
      </c>
      <c r="F875">
        <v>23.82</v>
      </c>
      <c r="G875" s="1" t="s">
        <v>66</v>
      </c>
      <c r="H875">
        <v>-3.9300000000000002E-2</v>
      </c>
      <c r="I875" s="3">
        <f t="shared" si="13"/>
        <v>4.6752172114191103E-2</v>
      </c>
    </row>
    <row r="876" spans="1:9" x14ac:dyDescent="0.35">
      <c r="A876" s="1" t="s">
        <v>652</v>
      </c>
      <c r="B876" s="2">
        <v>38443</v>
      </c>
      <c r="C876">
        <v>25.3</v>
      </c>
      <c r="D876">
        <v>24.24</v>
      </c>
      <c r="E876">
        <v>25.45</v>
      </c>
      <c r="F876">
        <v>23.94</v>
      </c>
      <c r="G876" s="1" t="s">
        <v>248</v>
      </c>
      <c r="H876">
        <v>4.6800000000000001E-2</v>
      </c>
      <c r="I876" s="3">
        <f t="shared" si="13"/>
        <v>1.9762845849802372E-2</v>
      </c>
    </row>
    <row r="877" spans="1:9" x14ac:dyDescent="0.35">
      <c r="A877" s="1" t="s">
        <v>652</v>
      </c>
      <c r="B877" s="2">
        <v>38473</v>
      </c>
      <c r="C877">
        <v>25.8</v>
      </c>
      <c r="D877">
        <v>25.23</v>
      </c>
      <c r="E877">
        <v>26.09</v>
      </c>
      <c r="F877">
        <v>24.64</v>
      </c>
      <c r="G877" s="1" t="s">
        <v>250</v>
      </c>
      <c r="H877">
        <v>1.9800000000000002E-2</v>
      </c>
      <c r="I877" s="3">
        <f t="shared" si="13"/>
        <v>-3.720930232558143E-2</v>
      </c>
    </row>
    <row r="878" spans="1:9" x14ac:dyDescent="0.35">
      <c r="A878" s="1" t="s">
        <v>652</v>
      </c>
      <c r="B878" s="2">
        <v>38504</v>
      </c>
      <c r="C878">
        <v>24.84</v>
      </c>
      <c r="D878">
        <v>25.73</v>
      </c>
      <c r="E878">
        <v>26</v>
      </c>
      <c r="F878">
        <v>24.82</v>
      </c>
      <c r="G878" s="1" t="s">
        <v>300</v>
      </c>
      <c r="H878">
        <v>-3.7199999999999997E-2</v>
      </c>
      <c r="I878" s="3">
        <f t="shared" si="13"/>
        <v>3.0998389694041849E-2</v>
      </c>
    </row>
    <row r="879" spans="1:9" x14ac:dyDescent="0.35">
      <c r="A879" s="1" t="s">
        <v>652</v>
      </c>
      <c r="B879" s="2">
        <v>38534</v>
      </c>
      <c r="C879">
        <v>25.61</v>
      </c>
      <c r="D879">
        <v>24.85</v>
      </c>
      <c r="E879">
        <v>26.48</v>
      </c>
      <c r="F879">
        <v>24.5</v>
      </c>
      <c r="G879" s="1" t="s">
        <v>801</v>
      </c>
      <c r="H879">
        <v>3.1E-2</v>
      </c>
      <c r="I879" s="3">
        <f t="shared" si="13"/>
        <v>6.9113627489261989E-2</v>
      </c>
    </row>
    <row r="880" spans="1:9" x14ac:dyDescent="0.35">
      <c r="A880" s="1" t="s">
        <v>652</v>
      </c>
      <c r="B880" s="2">
        <v>38565</v>
      </c>
      <c r="C880">
        <v>27.38</v>
      </c>
      <c r="D880">
        <v>25.81</v>
      </c>
      <c r="E880">
        <v>27.94</v>
      </c>
      <c r="F880">
        <v>25.76</v>
      </c>
      <c r="G880" s="1" t="s">
        <v>377</v>
      </c>
      <c r="H880">
        <v>6.9099999999999995E-2</v>
      </c>
      <c r="I880" s="3">
        <f t="shared" si="13"/>
        <v>-6.0262965668371027E-2</v>
      </c>
    </row>
    <row r="881" spans="1:9" x14ac:dyDescent="0.35">
      <c r="A881" s="1" t="s">
        <v>652</v>
      </c>
      <c r="B881" s="2">
        <v>38596</v>
      </c>
      <c r="C881">
        <v>25.73</v>
      </c>
      <c r="D881">
        <v>27.38</v>
      </c>
      <c r="E881">
        <v>27.39</v>
      </c>
      <c r="F881">
        <v>25.12</v>
      </c>
      <c r="G881" s="1" t="s">
        <v>115</v>
      </c>
      <c r="H881">
        <v>-6.0299999999999999E-2</v>
      </c>
      <c r="I881" s="3">
        <f t="shared" si="13"/>
        <v>-1.1659541391372381E-3</v>
      </c>
    </row>
    <row r="882" spans="1:9" x14ac:dyDescent="0.35">
      <c r="A882" s="1" t="s">
        <v>652</v>
      </c>
      <c r="B882" s="2">
        <v>38626</v>
      </c>
      <c r="C882">
        <v>25.7</v>
      </c>
      <c r="D882">
        <v>25.71</v>
      </c>
      <c r="E882">
        <v>25.8</v>
      </c>
      <c r="F882">
        <v>24.25</v>
      </c>
      <c r="G882" s="1" t="s">
        <v>377</v>
      </c>
      <c r="H882">
        <v>-1.1999999999999999E-3</v>
      </c>
      <c r="I882" s="3">
        <f t="shared" si="13"/>
        <v>7.7042801556420251E-2</v>
      </c>
    </row>
    <row r="883" spans="1:9" x14ac:dyDescent="0.35">
      <c r="A883" s="1" t="s">
        <v>652</v>
      </c>
      <c r="B883" s="2">
        <v>38657</v>
      </c>
      <c r="C883">
        <v>27.68</v>
      </c>
      <c r="D883">
        <v>25.61</v>
      </c>
      <c r="E883">
        <v>28.25</v>
      </c>
      <c r="F883">
        <v>25.61</v>
      </c>
      <c r="G883" s="1" t="s">
        <v>377</v>
      </c>
      <c r="H883">
        <v>7.6999999999999999E-2</v>
      </c>
      <c r="I883" s="3">
        <f t="shared" si="13"/>
        <v>-5.5274566473988478E-2</v>
      </c>
    </row>
    <row r="884" spans="1:9" x14ac:dyDescent="0.35">
      <c r="A884" s="1" t="s">
        <v>652</v>
      </c>
      <c r="B884" s="2">
        <v>38687</v>
      </c>
      <c r="C884">
        <v>26.15</v>
      </c>
      <c r="D884">
        <v>27.73</v>
      </c>
      <c r="E884">
        <v>28.1</v>
      </c>
      <c r="F884">
        <v>26.1</v>
      </c>
      <c r="G884" s="1" t="s">
        <v>250</v>
      </c>
      <c r="H884">
        <v>-5.5300000000000002E-2</v>
      </c>
      <c r="I884" s="3">
        <f t="shared" si="13"/>
        <v>7.6481835564053538E-2</v>
      </c>
    </row>
    <row r="885" spans="1:9" x14ac:dyDescent="0.35">
      <c r="A885" s="1" t="s">
        <v>652</v>
      </c>
      <c r="B885" s="2">
        <v>38718</v>
      </c>
      <c r="C885">
        <v>28.15</v>
      </c>
      <c r="D885">
        <v>26.25</v>
      </c>
      <c r="E885">
        <v>28.38</v>
      </c>
      <c r="F885">
        <v>26.1</v>
      </c>
      <c r="G885" s="1" t="s">
        <v>169</v>
      </c>
      <c r="H885">
        <v>7.6499999999999999E-2</v>
      </c>
      <c r="I885" s="3">
        <f t="shared" si="13"/>
        <v>-4.5470692717584284E-2</v>
      </c>
    </row>
    <row r="886" spans="1:9" x14ac:dyDescent="0.35">
      <c r="A886" s="1" t="s">
        <v>652</v>
      </c>
      <c r="B886" s="2">
        <v>38749</v>
      </c>
      <c r="C886">
        <v>26.87</v>
      </c>
      <c r="D886">
        <v>27.96</v>
      </c>
      <c r="E886">
        <v>28.07</v>
      </c>
      <c r="F886">
        <v>26.34</v>
      </c>
      <c r="G886" s="1" t="s">
        <v>147</v>
      </c>
      <c r="H886">
        <v>-4.5499999999999999E-2</v>
      </c>
      <c r="I886" s="3">
        <f t="shared" si="13"/>
        <v>1.2653516933382949E-2</v>
      </c>
    </row>
    <row r="887" spans="1:9" x14ac:dyDescent="0.35">
      <c r="A887" s="1" t="s">
        <v>652</v>
      </c>
      <c r="B887" s="2">
        <v>38777</v>
      </c>
      <c r="C887">
        <v>27.21</v>
      </c>
      <c r="D887">
        <v>26.98</v>
      </c>
      <c r="E887">
        <v>28.22</v>
      </c>
      <c r="F887">
        <v>26.62</v>
      </c>
      <c r="G887" s="1" t="s">
        <v>150</v>
      </c>
      <c r="H887">
        <v>1.2699999999999999E-2</v>
      </c>
      <c r="I887" s="3">
        <f t="shared" si="13"/>
        <v>-0.11245865490628454</v>
      </c>
    </row>
    <row r="888" spans="1:9" x14ac:dyDescent="0.35">
      <c r="A888" s="1" t="s">
        <v>652</v>
      </c>
      <c r="B888" s="2">
        <v>38808</v>
      </c>
      <c r="C888">
        <v>24.15</v>
      </c>
      <c r="D888">
        <v>27.67</v>
      </c>
      <c r="E888">
        <v>27.94</v>
      </c>
      <c r="F888">
        <v>24</v>
      </c>
      <c r="G888" s="1" t="s">
        <v>377</v>
      </c>
      <c r="H888">
        <v>-0.1125</v>
      </c>
      <c r="I888" s="3">
        <f t="shared" si="13"/>
        <v>-6.2111801242236031E-2</v>
      </c>
    </row>
    <row r="889" spans="1:9" x14ac:dyDescent="0.35">
      <c r="A889" s="1" t="s">
        <v>652</v>
      </c>
      <c r="B889" s="2">
        <v>38838</v>
      </c>
      <c r="C889">
        <v>22.65</v>
      </c>
      <c r="D889">
        <v>24.32</v>
      </c>
      <c r="E889">
        <v>25</v>
      </c>
      <c r="F889">
        <v>22.45</v>
      </c>
      <c r="G889" s="1" t="s">
        <v>258</v>
      </c>
      <c r="H889">
        <v>-6.2100000000000002E-2</v>
      </c>
      <c r="I889" s="3">
        <f t="shared" si="13"/>
        <v>2.8697571743929454E-2</v>
      </c>
    </row>
    <row r="890" spans="1:9" x14ac:dyDescent="0.35">
      <c r="A890" s="1" t="s">
        <v>652</v>
      </c>
      <c r="B890" s="2">
        <v>38869</v>
      </c>
      <c r="C890">
        <v>23.3</v>
      </c>
      <c r="D890">
        <v>22.74</v>
      </c>
      <c r="E890">
        <v>23.65</v>
      </c>
      <c r="F890">
        <v>21.46</v>
      </c>
      <c r="G890" s="1" t="s">
        <v>803</v>
      </c>
      <c r="H890">
        <v>2.87E-2</v>
      </c>
      <c r="I890" s="3">
        <f t="shared" si="13"/>
        <v>3.2618025751072872E-2</v>
      </c>
    </row>
    <row r="891" spans="1:9" x14ac:dyDescent="0.35">
      <c r="A891" s="1" t="s">
        <v>652</v>
      </c>
      <c r="B891" s="2">
        <v>38899</v>
      </c>
      <c r="C891">
        <v>24.06</v>
      </c>
      <c r="D891">
        <v>23.53</v>
      </c>
      <c r="E891">
        <v>24.6</v>
      </c>
      <c r="F891">
        <v>22.23</v>
      </c>
      <c r="G891" s="1" t="s">
        <v>801</v>
      </c>
      <c r="H891">
        <v>3.2599999999999997E-2</v>
      </c>
      <c r="I891" s="3">
        <f t="shared" si="13"/>
        <v>6.8162926018287648E-2</v>
      </c>
    </row>
    <row r="892" spans="1:9" x14ac:dyDescent="0.35">
      <c r="A892" s="1" t="s">
        <v>652</v>
      </c>
      <c r="B892" s="2">
        <v>38930</v>
      </c>
      <c r="C892">
        <v>25.7</v>
      </c>
      <c r="D892">
        <v>24.02</v>
      </c>
      <c r="E892">
        <v>26.25</v>
      </c>
      <c r="F892">
        <v>23.85</v>
      </c>
      <c r="G892" s="1" t="s">
        <v>83</v>
      </c>
      <c r="H892">
        <v>6.8199999999999997E-2</v>
      </c>
      <c r="I892" s="3">
        <f t="shared" si="13"/>
        <v>6.4202334630350286E-2</v>
      </c>
    </row>
    <row r="893" spans="1:9" x14ac:dyDescent="0.35">
      <c r="A893" s="1" t="s">
        <v>652</v>
      </c>
      <c r="B893" s="2">
        <v>38961</v>
      </c>
      <c r="C893">
        <v>27.35</v>
      </c>
      <c r="D893">
        <v>25.89</v>
      </c>
      <c r="E893">
        <v>27.52</v>
      </c>
      <c r="F893">
        <v>25.39</v>
      </c>
      <c r="G893" s="1" t="s">
        <v>159</v>
      </c>
      <c r="H893">
        <v>6.4199999999999993E-2</v>
      </c>
      <c r="I893" s="3">
        <f t="shared" si="13"/>
        <v>4.9725776965265062E-2</v>
      </c>
    </row>
    <row r="894" spans="1:9" x14ac:dyDescent="0.35">
      <c r="A894" s="1" t="s">
        <v>652</v>
      </c>
      <c r="B894" s="2">
        <v>38991</v>
      </c>
      <c r="C894">
        <v>28.71</v>
      </c>
      <c r="D894">
        <v>27.32</v>
      </c>
      <c r="E894">
        <v>28.85</v>
      </c>
      <c r="F894">
        <v>27.15</v>
      </c>
      <c r="G894" s="1" t="s">
        <v>249</v>
      </c>
      <c r="H894">
        <v>4.9700000000000001E-2</v>
      </c>
      <c r="I894" s="3">
        <f t="shared" si="13"/>
        <v>2.2640195053988107E-2</v>
      </c>
    </row>
    <row r="895" spans="1:9" x14ac:dyDescent="0.35">
      <c r="A895" s="1" t="s">
        <v>652</v>
      </c>
      <c r="B895" s="2">
        <v>39022</v>
      </c>
      <c r="C895">
        <v>29.36</v>
      </c>
      <c r="D895">
        <v>28.78</v>
      </c>
      <c r="E895">
        <v>30</v>
      </c>
      <c r="F895">
        <v>28.58</v>
      </c>
      <c r="G895" s="1" t="s">
        <v>241</v>
      </c>
      <c r="H895">
        <v>2.2599999999999999E-2</v>
      </c>
      <c r="I895" s="3">
        <f t="shared" si="13"/>
        <v>1.7029972752043598E-2</v>
      </c>
    </row>
    <row r="896" spans="1:9" x14ac:dyDescent="0.35">
      <c r="A896" s="1" t="s">
        <v>652</v>
      </c>
      <c r="B896" s="2">
        <v>39052</v>
      </c>
      <c r="C896">
        <v>29.86</v>
      </c>
      <c r="D896">
        <v>29.23</v>
      </c>
      <c r="E896">
        <v>30.26</v>
      </c>
      <c r="F896">
        <v>28.8</v>
      </c>
      <c r="G896" s="1" t="s">
        <v>178</v>
      </c>
      <c r="H896">
        <v>1.7000000000000001E-2</v>
      </c>
      <c r="I896" s="3">
        <f t="shared" si="13"/>
        <v>3.3489618218352314E-2</v>
      </c>
    </row>
    <row r="897" spans="1:9" x14ac:dyDescent="0.35">
      <c r="A897" s="1" t="s">
        <v>652</v>
      </c>
      <c r="B897" s="2">
        <v>39083</v>
      </c>
      <c r="C897">
        <v>30.86</v>
      </c>
      <c r="D897">
        <v>29.91</v>
      </c>
      <c r="E897">
        <v>31.48</v>
      </c>
      <c r="F897">
        <v>29.4</v>
      </c>
      <c r="G897" s="1" t="s">
        <v>801</v>
      </c>
      <c r="H897">
        <v>3.3500000000000002E-2</v>
      </c>
      <c r="I897" s="3">
        <f t="shared" si="13"/>
        <v>-8.7167854828256577E-2</v>
      </c>
    </row>
    <row r="898" spans="1:9" x14ac:dyDescent="0.35">
      <c r="A898" s="1" t="s">
        <v>652</v>
      </c>
      <c r="B898" s="2">
        <v>39114</v>
      </c>
      <c r="C898">
        <v>28.17</v>
      </c>
      <c r="D898">
        <v>30.84</v>
      </c>
      <c r="E898">
        <v>30.94</v>
      </c>
      <c r="F898">
        <v>27.79</v>
      </c>
      <c r="G898" s="1" t="s">
        <v>249</v>
      </c>
      <c r="H898">
        <v>-8.72E-2</v>
      </c>
      <c r="I898" s="3">
        <f t="shared" ref="I898:I961" si="14">IF(A899=A898, (C899-C898)/C898, 0)</f>
        <v>-1.0649627263045818E-2</v>
      </c>
    </row>
    <row r="899" spans="1:9" x14ac:dyDescent="0.35">
      <c r="A899" s="1" t="s">
        <v>652</v>
      </c>
      <c r="B899" s="2">
        <v>39142</v>
      </c>
      <c r="C899">
        <v>27.87</v>
      </c>
      <c r="D899">
        <v>27.82</v>
      </c>
      <c r="E899">
        <v>28.55</v>
      </c>
      <c r="F899">
        <v>26.6</v>
      </c>
      <c r="G899" s="1" t="s">
        <v>374</v>
      </c>
      <c r="H899">
        <v>-1.06E-2</v>
      </c>
      <c r="I899" s="3">
        <f t="shared" si="14"/>
        <v>7.4273412271259429E-2</v>
      </c>
    </row>
    <row r="900" spans="1:9" x14ac:dyDescent="0.35">
      <c r="A900" s="1" t="s">
        <v>652</v>
      </c>
      <c r="B900" s="2">
        <v>39173</v>
      </c>
      <c r="C900">
        <v>29.94</v>
      </c>
      <c r="D900">
        <v>27.89</v>
      </c>
      <c r="E900">
        <v>30.74</v>
      </c>
      <c r="F900">
        <v>27.56</v>
      </c>
      <c r="G900" s="1" t="s">
        <v>802</v>
      </c>
      <c r="H900">
        <v>7.4300000000000005E-2</v>
      </c>
      <c r="I900" s="3">
        <f t="shared" si="14"/>
        <v>2.5050100200400799E-2</v>
      </c>
    </row>
    <row r="901" spans="1:9" x14ac:dyDescent="0.35">
      <c r="A901" s="1" t="s">
        <v>652</v>
      </c>
      <c r="B901" s="2">
        <v>39203</v>
      </c>
      <c r="C901">
        <v>30.69</v>
      </c>
      <c r="D901">
        <v>29.94</v>
      </c>
      <c r="E901">
        <v>31.16</v>
      </c>
      <c r="F901">
        <v>29.9</v>
      </c>
      <c r="G901" s="1" t="s">
        <v>801</v>
      </c>
      <c r="H901">
        <v>2.5100000000000001E-2</v>
      </c>
      <c r="I901" s="3">
        <f t="shared" si="14"/>
        <v>-3.9752362333007572E-2</v>
      </c>
    </row>
    <row r="902" spans="1:9" x14ac:dyDescent="0.35">
      <c r="A902" s="1" t="s">
        <v>652</v>
      </c>
      <c r="B902" s="2">
        <v>39234</v>
      </c>
      <c r="C902">
        <v>29.47</v>
      </c>
      <c r="D902">
        <v>30.79</v>
      </c>
      <c r="E902">
        <v>30.9</v>
      </c>
      <c r="F902">
        <v>29.04</v>
      </c>
      <c r="G902" s="1" t="s">
        <v>280</v>
      </c>
      <c r="H902">
        <v>-3.9800000000000002E-2</v>
      </c>
      <c r="I902" s="3">
        <f t="shared" si="14"/>
        <v>-1.6287750254496112E-2</v>
      </c>
    </row>
    <row r="903" spans="1:9" x14ac:dyDescent="0.35">
      <c r="A903" s="1" t="s">
        <v>652</v>
      </c>
      <c r="B903" s="2">
        <v>39264</v>
      </c>
      <c r="C903">
        <v>28.99</v>
      </c>
      <c r="D903">
        <v>29.67</v>
      </c>
      <c r="E903">
        <v>31.84</v>
      </c>
      <c r="F903">
        <v>28.95</v>
      </c>
      <c r="G903" s="1" t="s">
        <v>373</v>
      </c>
      <c r="H903">
        <v>-1.6299999999999999E-2</v>
      </c>
      <c r="I903" s="3">
        <f t="shared" si="14"/>
        <v>-8.9686098654707842E-3</v>
      </c>
    </row>
    <row r="904" spans="1:9" x14ac:dyDescent="0.35">
      <c r="A904" s="1" t="s">
        <v>652</v>
      </c>
      <c r="B904" s="2">
        <v>39295</v>
      </c>
      <c r="C904">
        <v>28.73</v>
      </c>
      <c r="D904">
        <v>28.95</v>
      </c>
      <c r="E904">
        <v>30.1</v>
      </c>
      <c r="F904">
        <v>27.51</v>
      </c>
      <c r="G904" s="1" t="s">
        <v>370</v>
      </c>
      <c r="H904">
        <v>-8.9999999999999993E-3</v>
      </c>
      <c r="I904" s="3">
        <f t="shared" si="14"/>
        <v>2.5408980160111398E-2</v>
      </c>
    </row>
    <row r="905" spans="1:9" x14ac:dyDescent="0.35">
      <c r="A905" s="1" t="s">
        <v>652</v>
      </c>
      <c r="B905" s="2">
        <v>39326</v>
      </c>
      <c r="C905">
        <v>29.46</v>
      </c>
      <c r="D905">
        <v>28.5</v>
      </c>
      <c r="E905">
        <v>29.85</v>
      </c>
      <c r="F905">
        <v>28.27</v>
      </c>
      <c r="G905" s="1" t="s">
        <v>65</v>
      </c>
      <c r="H905">
        <v>2.5399999999999999E-2</v>
      </c>
      <c r="I905" s="3">
        <f t="shared" si="14"/>
        <v>0.24949083503054995</v>
      </c>
    </row>
    <row r="906" spans="1:9" x14ac:dyDescent="0.35">
      <c r="A906" s="1" t="s">
        <v>652</v>
      </c>
      <c r="B906" s="2">
        <v>39356</v>
      </c>
      <c r="C906">
        <v>36.81</v>
      </c>
      <c r="D906">
        <v>29.46</v>
      </c>
      <c r="E906">
        <v>37</v>
      </c>
      <c r="F906">
        <v>29.29</v>
      </c>
      <c r="G906" s="1" t="s">
        <v>197</v>
      </c>
      <c r="H906">
        <v>0.2495</v>
      </c>
      <c r="I906" s="3">
        <f t="shared" si="14"/>
        <v>-8.7204563977180127E-2</v>
      </c>
    </row>
    <row r="907" spans="1:9" x14ac:dyDescent="0.35">
      <c r="A907" s="1" t="s">
        <v>652</v>
      </c>
      <c r="B907" s="2">
        <v>39387</v>
      </c>
      <c r="C907">
        <v>33.6</v>
      </c>
      <c r="D907">
        <v>36.53</v>
      </c>
      <c r="E907">
        <v>37.5</v>
      </c>
      <c r="F907">
        <v>32.68</v>
      </c>
      <c r="G907" s="1" t="s">
        <v>382</v>
      </c>
      <c r="H907">
        <v>-8.72E-2</v>
      </c>
      <c r="I907" s="3">
        <f t="shared" si="14"/>
        <v>5.9523809523809521E-2</v>
      </c>
    </row>
    <row r="908" spans="1:9" x14ac:dyDescent="0.35">
      <c r="A908" s="1" t="s">
        <v>652</v>
      </c>
      <c r="B908" s="2">
        <v>39417</v>
      </c>
      <c r="C908">
        <v>35.6</v>
      </c>
      <c r="D908">
        <v>33.5</v>
      </c>
      <c r="E908">
        <v>36.72</v>
      </c>
      <c r="F908">
        <v>32.630000000000003</v>
      </c>
      <c r="G908" s="1" t="s">
        <v>144</v>
      </c>
      <c r="H908">
        <v>5.9499999999999997E-2</v>
      </c>
      <c r="I908" s="3">
        <f t="shared" si="14"/>
        <v>-8.4269662921348312E-2</v>
      </c>
    </row>
    <row r="909" spans="1:9" x14ac:dyDescent="0.35">
      <c r="A909" s="1" t="s">
        <v>652</v>
      </c>
      <c r="B909" s="2">
        <v>39448</v>
      </c>
      <c r="C909">
        <v>32.6</v>
      </c>
      <c r="D909">
        <v>35.79</v>
      </c>
      <c r="E909">
        <v>35.96</v>
      </c>
      <c r="F909">
        <v>31.04</v>
      </c>
      <c r="G909" s="1" t="s">
        <v>274</v>
      </c>
      <c r="H909">
        <v>-8.43E-2</v>
      </c>
      <c r="I909" s="3">
        <f t="shared" si="14"/>
        <v>-0.16564417177914117</v>
      </c>
    </row>
    <row r="910" spans="1:9" x14ac:dyDescent="0.35">
      <c r="A910" s="1" t="s">
        <v>652</v>
      </c>
      <c r="B910" s="2">
        <v>39479</v>
      </c>
      <c r="C910">
        <v>27.2</v>
      </c>
      <c r="D910">
        <v>31.05</v>
      </c>
      <c r="E910">
        <v>33.25</v>
      </c>
      <c r="F910">
        <v>27.02</v>
      </c>
      <c r="G910" s="1" t="s">
        <v>258</v>
      </c>
      <c r="H910">
        <v>-0.1656</v>
      </c>
      <c r="I910" s="3">
        <f t="shared" si="14"/>
        <v>4.3382352941176462E-2</v>
      </c>
    </row>
    <row r="911" spans="1:9" x14ac:dyDescent="0.35">
      <c r="A911" s="1" t="s">
        <v>652</v>
      </c>
      <c r="B911" s="2">
        <v>39508</v>
      </c>
      <c r="C911">
        <v>28.38</v>
      </c>
      <c r="D911">
        <v>27.24</v>
      </c>
      <c r="E911">
        <v>29.59</v>
      </c>
      <c r="F911">
        <v>26.87</v>
      </c>
      <c r="G911" s="1" t="s">
        <v>377</v>
      </c>
      <c r="H911">
        <v>4.3400000000000001E-2</v>
      </c>
      <c r="I911" s="3">
        <f t="shared" si="14"/>
        <v>4.9330514446793722E-3</v>
      </c>
    </row>
    <row r="912" spans="1:9" x14ac:dyDescent="0.35">
      <c r="A912" s="1" t="s">
        <v>652</v>
      </c>
      <c r="B912" s="2">
        <v>39539</v>
      </c>
      <c r="C912">
        <v>28.52</v>
      </c>
      <c r="D912">
        <v>28.83</v>
      </c>
      <c r="E912">
        <v>32.1</v>
      </c>
      <c r="F912">
        <v>27.93</v>
      </c>
      <c r="G912" s="1" t="s">
        <v>377</v>
      </c>
      <c r="H912">
        <v>4.8999999999999998E-3</v>
      </c>
      <c r="I912" s="3">
        <f t="shared" si="14"/>
        <v>-7.0126227208975912E-3</v>
      </c>
    </row>
    <row r="913" spans="1:9" x14ac:dyDescent="0.35">
      <c r="A913" s="1" t="s">
        <v>652</v>
      </c>
      <c r="B913" s="2">
        <v>39569</v>
      </c>
      <c r="C913">
        <v>28.32</v>
      </c>
      <c r="D913">
        <v>28.5</v>
      </c>
      <c r="E913">
        <v>30.53</v>
      </c>
      <c r="F913">
        <v>27.95</v>
      </c>
      <c r="G913" s="1" t="s">
        <v>165</v>
      </c>
      <c r="H913">
        <v>-7.0000000000000001E-3</v>
      </c>
      <c r="I913" s="3">
        <f t="shared" si="14"/>
        <v>-2.8601694915254192E-2</v>
      </c>
    </row>
    <row r="914" spans="1:9" x14ac:dyDescent="0.35">
      <c r="A914" s="1" t="s">
        <v>652</v>
      </c>
      <c r="B914" s="2">
        <v>39600</v>
      </c>
      <c r="C914">
        <v>27.51</v>
      </c>
      <c r="D914">
        <v>28.24</v>
      </c>
      <c r="E914">
        <v>29.57</v>
      </c>
      <c r="F914">
        <v>27.11</v>
      </c>
      <c r="G914" s="1" t="s">
        <v>66</v>
      </c>
      <c r="H914">
        <v>-2.86E-2</v>
      </c>
      <c r="I914" s="3">
        <f t="shared" si="14"/>
        <v>-6.5067248273355235E-2</v>
      </c>
    </row>
    <row r="915" spans="1:9" x14ac:dyDescent="0.35">
      <c r="A915" s="1" t="s">
        <v>652</v>
      </c>
      <c r="B915" s="2">
        <v>39630</v>
      </c>
      <c r="C915">
        <v>25.72</v>
      </c>
      <c r="D915">
        <v>27.27</v>
      </c>
      <c r="E915">
        <v>27.91</v>
      </c>
      <c r="F915">
        <v>24.87</v>
      </c>
      <c r="G915" s="1" t="s">
        <v>800</v>
      </c>
      <c r="H915">
        <v>-6.5100000000000005E-2</v>
      </c>
      <c r="I915" s="3">
        <f t="shared" si="14"/>
        <v>6.1041990668740297E-2</v>
      </c>
    </row>
    <row r="916" spans="1:9" x14ac:dyDescent="0.35">
      <c r="A916" s="1" t="s">
        <v>652</v>
      </c>
      <c r="B916" s="2">
        <v>39661</v>
      </c>
      <c r="C916">
        <v>27.29</v>
      </c>
      <c r="D916">
        <v>25.92</v>
      </c>
      <c r="E916">
        <v>28.5</v>
      </c>
      <c r="F916">
        <v>25.07</v>
      </c>
      <c r="G916" s="1" t="s">
        <v>160</v>
      </c>
      <c r="H916">
        <v>6.0999999999999999E-2</v>
      </c>
      <c r="I916" s="3">
        <f t="shared" si="14"/>
        <v>-2.1986075485525756E-2</v>
      </c>
    </row>
    <row r="917" spans="1:9" x14ac:dyDescent="0.35">
      <c r="A917" s="1" t="s">
        <v>652</v>
      </c>
      <c r="B917" s="2">
        <v>39692</v>
      </c>
      <c r="C917">
        <v>26.69</v>
      </c>
      <c r="D917">
        <v>27.66</v>
      </c>
      <c r="E917">
        <v>27.76</v>
      </c>
      <c r="F917">
        <v>23.5</v>
      </c>
      <c r="G917" s="1" t="s">
        <v>273</v>
      </c>
      <c r="H917">
        <v>-2.1999999999999999E-2</v>
      </c>
      <c r="I917" s="3">
        <f t="shared" si="14"/>
        <v>-0.16335706257025112</v>
      </c>
    </row>
    <row r="918" spans="1:9" x14ac:dyDescent="0.35">
      <c r="A918" s="1" t="s">
        <v>652</v>
      </c>
      <c r="B918" s="2">
        <v>39722</v>
      </c>
      <c r="C918">
        <v>22.33</v>
      </c>
      <c r="D918">
        <v>26.38</v>
      </c>
      <c r="E918">
        <v>27.47</v>
      </c>
      <c r="F918">
        <v>20.65</v>
      </c>
      <c r="G918" s="1" t="s">
        <v>337</v>
      </c>
      <c r="H918">
        <v>-0.16339999999999999</v>
      </c>
      <c r="I918" s="3">
        <f t="shared" si="14"/>
        <v>-9.4491715181370339E-2</v>
      </c>
    </row>
    <row r="919" spans="1:9" x14ac:dyDescent="0.35">
      <c r="A919" s="1" t="s">
        <v>652</v>
      </c>
      <c r="B919" s="2">
        <v>39753</v>
      </c>
      <c r="C919">
        <v>20.22</v>
      </c>
      <c r="D919">
        <v>22.48</v>
      </c>
      <c r="E919">
        <v>23.66</v>
      </c>
      <c r="F919">
        <v>17.5</v>
      </c>
      <c r="G919" s="1" t="s">
        <v>286</v>
      </c>
      <c r="H919">
        <v>-9.4500000000000001E-2</v>
      </c>
      <c r="I919" s="3">
        <f t="shared" si="14"/>
        <v>-3.8575667655786232E-2</v>
      </c>
    </row>
    <row r="920" spans="1:9" x14ac:dyDescent="0.35">
      <c r="A920" s="1" t="s">
        <v>652</v>
      </c>
      <c r="B920" s="2">
        <v>39783</v>
      </c>
      <c r="C920">
        <v>19.440000000000001</v>
      </c>
      <c r="D920">
        <v>19.88</v>
      </c>
      <c r="E920">
        <v>21.25</v>
      </c>
      <c r="F920">
        <v>18.47</v>
      </c>
      <c r="G920" s="1" t="s">
        <v>245</v>
      </c>
      <c r="H920">
        <v>-3.8600000000000002E-2</v>
      </c>
      <c r="I920" s="3">
        <f t="shared" si="14"/>
        <v>-0.12037037037037035</v>
      </c>
    </row>
    <row r="921" spans="1:9" x14ac:dyDescent="0.35">
      <c r="A921" s="1" t="s">
        <v>652</v>
      </c>
      <c r="B921" s="2">
        <v>39814</v>
      </c>
      <c r="C921">
        <v>17.100000000000001</v>
      </c>
      <c r="D921">
        <v>19.53</v>
      </c>
      <c r="E921">
        <v>21</v>
      </c>
      <c r="F921">
        <v>16.75</v>
      </c>
      <c r="G921" s="1" t="s">
        <v>66</v>
      </c>
      <c r="H921">
        <v>-0.12039999999999999</v>
      </c>
      <c r="I921" s="3">
        <f t="shared" si="14"/>
        <v>-5.5555555555555719E-2</v>
      </c>
    </row>
    <row r="922" spans="1:9" x14ac:dyDescent="0.35">
      <c r="A922" s="1" t="s">
        <v>652</v>
      </c>
      <c r="B922" s="2">
        <v>39845</v>
      </c>
      <c r="C922">
        <v>16.149999999999999</v>
      </c>
      <c r="D922">
        <v>17.03</v>
      </c>
      <c r="E922">
        <v>19.93</v>
      </c>
      <c r="F922">
        <v>16.100000000000001</v>
      </c>
      <c r="G922" s="1" t="s">
        <v>171</v>
      </c>
      <c r="H922">
        <v>-5.5599999999999997E-2</v>
      </c>
      <c r="I922" s="3">
        <f t="shared" si="14"/>
        <v>0.13746130030959769</v>
      </c>
    </row>
    <row r="923" spans="1:9" x14ac:dyDescent="0.35">
      <c r="A923" s="1" t="s">
        <v>652</v>
      </c>
      <c r="B923" s="2">
        <v>39873</v>
      </c>
      <c r="C923">
        <v>18.37</v>
      </c>
      <c r="D923">
        <v>15.96</v>
      </c>
      <c r="E923">
        <v>18.88</v>
      </c>
      <c r="F923">
        <v>14.87</v>
      </c>
      <c r="G923" s="1" t="s">
        <v>170</v>
      </c>
      <c r="H923">
        <v>0.13750000000000001</v>
      </c>
      <c r="I923" s="3">
        <f t="shared" si="14"/>
        <v>0.10288513881328255</v>
      </c>
    </row>
    <row r="924" spans="1:9" x14ac:dyDescent="0.35">
      <c r="A924" s="1" t="s">
        <v>652</v>
      </c>
      <c r="B924" s="2">
        <v>39904</v>
      </c>
      <c r="C924">
        <v>20.260000000000002</v>
      </c>
      <c r="D924">
        <v>18.23</v>
      </c>
      <c r="E924">
        <v>21.2</v>
      </c>
      <c r="F924">
        <v>18.18</v>
      </c>
      <c r="G924" s="1" t="s">
        <v>255</v>
      </c>
      <c r="H924">
        <v>0.10290000000000001</v>
      </c>
      <c r="I924" s="3">
        <f t="shared" si="14"/>
        <v>3.1095755182625813E-2</v>
      </c>
    </row>
    <row r="925" spans="1:9" x14ac:dyDescent="0.35">
      <c r="A925" s="1" t="s">
        <v>652</v>
      </c>
      <c r="B925" s="2">
        <v>39934</v>
      </c>
      <c r="C925">
        <v>20.89</v>
      </c>
      <c r="D925">
        <v>20.190000000000001</v>
      </c>
      <c r="E925">
        <v>20.94</v>
      </c>
      <c r="F925">
        <v>19.010000000000002</v>
      </c>
      <c r="G925" s="1" t="s">
        <v>159</v>
      </c>
      <c r="H925">
        <v>3.1099999999999999E-2</v>
      </c>
      <c r="I925" s="3">
        <f t="shared" si="14"/>
        <v>0.13786500718046907</v>
      </c>
    </row>
    <row r="926" spans="1:9" x14ac:dyDescent="0.35">
      <c r="A926" s="1" t="s">
        <v>652</v>
      </c>
      <c r="B926" s="2">
        <v>39965</v>
      </c>
      <c r="C926">
        <v>23.77</v>
      </c>
      <c r="D926">
        <v>21</v>
      </c>
      <c r="E926">
        <v>24.34</v>
      </c>
      <c r="F926">
        <v>20.86</v>
      </c>
      <c r="G926" s="1" t="s">
        <v>165</v>
      </c>
      <c r="H926">
        <v>0.13789999999999999</v>
      </c>
      <c r="I926" s="3">
        <f t="shared" si="14"/>
        <v>-1.051745898190997E-2</v>
      </c>
    </row>
    <row r="927" spans="1:9" x14ac:dyDescent="0.35">
      <c r="A927" s="1" t="s">
        <v>652</v>
      </c>
      <c r="B927" s="2">
        <v>39995</v>
      </c>
      <c r="C927">
        <v>23.52</v>
      </c>
      <c r="D927">
        <v>24.05</v>
      </c>
      <c r="E927">
        <v>25.72</v>
      </c>
      <c r="F927">
        <v>22</v>
      </c>
      <c r="G927" s="1" t="s">
        <v>244</v>
      </c>
      <c r="H927">
        <v>-1.0500000000000001E-2</v>
      </c>
      <c r="I927" s="3">
        <f t="shared" si="14"/>
        <v>4.8044217687074786E-2</v>
      </c>
    </row>
    <row r="928" spans="1:9" x14ac:dyDescent="0.35">
      <c r="A928" s="1" t="s">
        <v>652</v>
      </c>
      <c r="B928" s="2">
        <v>40026</v>
      </c>
      <c r="C928">
        <v>24.65</v>
      </c>
      <c r="D928">
        <v>23.82</v>
      </c>
      <c r="E928">
        <v>25.49</v>
      </c>
      <c r="F928">
        <v>23.03</v>
      </c>
      <c r="G928" s="1" t="s">
        <v>799</v>
      </c>
      <c r="H928">
        <v>4.8000000000000001E-2</v>
      </c>
      <c r="I928" s="3">
        <f t="shared" si="14"/>
        <v>4.340770791075052E-2</v>
      </c>
    </row>
    <row r="929" spans="1:9" x14ac:dyDescent="0.35">
      <c r="A929" s="1" t="s">
        <v>652</v>
      </c>
      <c r="B929" s="2">
        <v>40057</v>
      </c>
      <c r="C929">
        <v>25.72</v>
      </c>
      <c r="D929">
        <v>24.35</v>
      </c>
      <c r="E929">
        <v>26.25</v>
      </c>
      <c r="F929">
        <v>23.76</v>
      </c>
      <c r="G929" s="1" t="s">
        <v>90</v>
      </c>
      <c r="H929">
        <v>4.3400000000000001E-2</v>
      </c>
      <c r="I929" s="3">
        <f t="shared" si="14"/>
        <v>7.8149300155521059E-2</v>
      </c>
    </row>
    <row r="930" spans="1:9" x14ac:dyDescent="0.35">
      <c r="A930" s="1" t="s">
        <v>652</v>
      </c>
      <c r="B930" s="2">
        <v>40087</v>
      </c>
      <c r="C930">
        <v>27.73</v>
      </c>
      <c r="D930">
        <v>25.41</v>
      </c>
      <c r="E930">
        <v>29.35</v>
      </c>
      <c r="F930">
        <v>24.43</v>
      </c>
      <c r="G930" s="1" t="s">
        <v>244</v>
      </c>
      <c r="H930">
        <v>7.8100000000000003E-2</v>
      </c>
      <c r="I930" s="3">
        <f t="shared" si="14"/>
        <v>6.0584204832311563E-2</v>
      </c>
    </row>
    <row r="931" spans="1:9" x14ac:dyDescent="0.35">
      <c r="A931" s="1" t="s">
        <v>652</v>
      </c>
      <c r="B931" s="2">
        <v>40118</v>
      </c>
      <c r="C931">
        <v>29.41</v>
      </c>
      <c r="D931">
        <v>27.7</v>
      </c>
      <c r="E931">
        <v>30.14</v>
      </c>
      <c r="F931">
        <v>27.41</v>
      </c>
      <c r="G931" s="1" t="s">
        <v>176</v>
      </c>
      <c r="H931">
        <v>6.0600000000000001E-2</v>
      </c>
      <c r="I931" s="3">
        <f t="shared" si="14"/>
        <v>3.6382182930975865E-2</v>
      </c>
    </row>
    <row r="932" spans="1:9" x14ac:dyDescent="0.35">
      <c r="A932" s="1" t="s">
        <v>652</v>
      </c>
      <c r="B932" s="2">
        <v>40148</v>
      </c>
      <c r="C932">
        <v>30.48</v>
      </c>
      <c r="D932">
        <v>29.52</v>
      </c>
      <c r="E932">
        <v>31.5</v>
      </c>
      <c r="F932">
        <v>29.25</v>
      </c>
      <c r="G932" s="1" t="s">
        <v>798</v>
      </c>
      <c r="H932">
        <v>3.6400000000000002E-2</v>
      </c>
      <c r="I932" s="3">
        <f t="shared" si="14"/>
        <v>-7.5459317585301861E-2</v>
      </c>
    </row>
    <row r="933" spans="1:9" x14ac:dyDescent="0.35">
      <c r="A933" s="1" t="s">
        <v>652</v>
      </c>
      <c r="B933" s="2">
        <v>40179</v>
      </c>
      <c r="C933">
        <v>28.18</v>
      </c>
      <c r="D933">
        <v>30.62</v>
      </c>
      <c r="E933">
        <v>31.24</v>
      </c>
      <c r="F933">
        <v>27.66</v>
      </c>
      <c r="G933" s="1" t="s">
        <v>243</v>
      </c>
      <c r="H933">
        <v>-7.5499999999999998E-2</v>
      </c>
      <c r="I933" s="3">
        <f t="shared" si="14"/>
        <v>1.7388218594748119E-2</v>
      </c>
    </row>
    <row r="934" spans="1:9" x14ac:dyDescent="0.35">
      <c r="A934" s="1" t="s">
        <v>652</v>
      </c>
      <c r="B934" s="2">
        <v>40210</v>
      </c>
      <c r="C934">
        <v>28.67</v>
      </c>
      <c r="D934">
        <v>28.39</v>
      </c>
      <c r="E934">
        <v>29.03</v>
      </c>
      <c r="F934">
        <v>27.57</v>
      </c>
      <c r="G934" s="1" t="s">
        <v>144</v>
      </c>
      <c r="H934">
        <v>1.7399999999999999E-2</v>
      </c>
      <c r="I934" s="3">
        <f t="shared" si="14"/>
        <v>2.1625392396232904E-2</v>
      </c>
    </row>
    <row r="935" spans="1:9" x14ac:dyDescent="0.35">
      <c r="A935" s="1" t="s">
        <v>652</v>
      </c>
      <c r="B935" s="2">
        <v>40238</v>
      </c>
      <c r="C935">
        <v>29.29</v>
      </c>
      <c r="D935">
        <v>28.77</v>
      </c>
      <c r="E935">
        <v>30.57</v>
      </c>
      <c r="F935">
        <v>28.24</v>
      </c>
      <c r="G935" s="1" t="s">
        <v>120</v>
      </c>
      <c r="H935">
        <v>2.1600000000000001E-2</v>
      </c>
      <c r="I935" s="3">
        <f t="shared" si="14"/>
        <v>4.2676681461249574E-2</v>
      </c>
    </row>
    <row r="936" spans="1:9" x14ac:dyDescent="0.35">
      <c r="A936" s="1" t="s">
        <v>652</v>
      </c>
      <c r="B936" s="2">
        <v>40269</v>
      </c>
      <c r="C936">
        <v>30.54</v>
      </c>
      <c r="D936">
        <v>29.35</v>
      </c>
      <c r="E936">
        <v>31.58</v>
      </c>
      <c r="F936">
        <v>28.62</v>
      </c>
      <c r="G936" s="1" t="s">
        <v>300</v>
      </c>
      <c r="H936">
        <v>4.2700000000000002E-2</v>
      </c>
      <c r="I936" s="3">
        <f t="shared" si="14"/>
        <v>-0.15520628683693513</v>
      </c>
    </row>
    <row r="937" spans="1:9" x14ac:dyDescent="0.35">
      <c r="A937" s="1" t="s">
        <v>652</v>
      </c>
      <c r="B937" s="2">
        <v>40299</v>
      </c>
      <c r="C937">
        <v>25.8</v>
      </c>
      <c r="D937">
        <v>30.67</v>
      </c>
      <c r="E937">
        <v>31.06</v>
      </c>
      <c r="F937">
        <v>24.56</v>
      </c>
      <c r="G937" s="1" t="s">
        <v>275</v>
      </c>
      <c r="H937">
        <v>-0.1552</v>
      </c>
      <c r="I937" s="3">
        <f t="shared" si="14"/>
        <v>-0.1081395348837209</v>
      </c>
    </row>
    <row r="938" spans="1:9" x14ac:dyDescent="0.35">
      <c r="A938" s="1" t="s">
        <v>652</v>
      </c>
      <c r="B938" s="2">
        <v>40330</v>
      </c>
      <c r="C938">
        <v>23.01</v>
      </c>
      <c r="D938">
        <v>25.53</v>
      </c>
      <c r="E938">
        <v>26.93</v>
      </c>
      <c r="F938">
        <v>22.95</v>
      </c>
      <c r="G938" s="1" t="s">
        <v>253</v>
      </c>
      <c r="H938">
        <v>-0.1081</v>
      </c>
      <c r="I938" s="3">
        <f t="shared" si="14"/>
        <v>0.12168622338113851</v>
      </c>
    </row>
    <row r="939" spans="1:9" x14ac:dyDescent="0.35">
      <c r="A939" s="1" t="s">
        <v>652</v>
      </c>
      <c r="B939" s="2">
        <v>40360</v>
      </c>
      <c r="C939">
        <v>25.81</v>
      </c>
      <c r="D939">
        <v>23.09</v>
      </c>
      <c r="E939">
        <v>26.41</v>
      </c>
      <c r="F939">
        <v>22.73</v>
      </c>
      <c r="G939" s="1" t="s">
        <v>165</v>
      </c>
      <c r="H939">
        <v>0.1217</v>
      </c>
      <c r="I939" s="3">
        <f t="shared" si="14"/>
        <v>-9.1049980627663618E-2</v>
      </c>
    </row>
    <row r="940" spans="1:9" x14ac:dyDescent="0.35">
      <c r="A940" s="1" t="s">
        <v>652</v>
      </c>
      <c r="B940" s="2">
        <v>40391</v>
      </c>
      <c r="C940">
        <v>23.46</v>
      </c>
      <c r="D940">
        <v>25.99</v>
      </c>
      <c r="E940">
        <v>26.38</v>
      </c>
      <c r="F940">
        <v>23.32</v>
      </c>
      <c r="G940" s="1" t="s">
        <v>374</v>
      </c>
      <c r="H940">
        <v>-9.0999999999999998E-2</v>
      </c>
      <c r="I940" s="3">
        <f t="shared" si="14"/>
        <v>4.3904518329070656E-2</v>
      </c>
    </row>
    <row r="941" spans="1:9" x14ac:dyDescent="0.35">
      <c r="A941" s="1" t="s">
        <v>652</v>
      </c>
      <c r="B941" s="2">
        <v>40422</v>
      </c>
      <c r="C941">
        <v>24.49</v>
      </c>
      <c r="D941">
        <v>23.67</v>
      </c>
      <c r="E941">
        <v>25.53</v>
      </c>
      <c r="F941">
        <v>23.54</v>
      </c>
      <c r="G941" s="1" t="s">
        <v>250</v>
      </c>
      <c r="H941">
        <v>4.3900000000000002E-2</v>
      </c>
      <c r="I941" s="3">
        <f t="shared" si="14"/>
        <v>8.860759493670893E-2</v>
      </c>
    </row>
    <row r="942" spans="1:9" x14ac:dyDescent="0.35">
      <c r="A942" s="1" t="s">
        <v>652</v>
      </c>
      <c r="B942" s="2">
        <v>40452</v>
      </c>
      <c r="C942">
        <v>26.66</v>
      </c>
      <c r="D942">
        <v>24.77</v>
      </c>
      <c r="E942">
        <v>27.2</v>
      </c>
      <c r="F942">
        <v>23.78</v>
      </c>
      <c r="G942" s="1" t="s">
        <v>374</v>
      </c>
      <c r="H942">
        <v>8.8599999999999998E-2</v>
      </c>
      <c r="I942" s="3">
        <f t="shared" si="14"/>
        <v>-5.2513128282070463E-2</v>
      </c>
    </row>
    <row r="943" spans="1:9" x14ac:dyDescent="0.35">
      <c r="A943" s="1" t="s">
        <v>652</v>
      </c>
      <c r="B943" s="2">
        <v>40483</v>
      </c>
      <c r="C943">
        <v>25.26</v>
      </c>
      <c r="D943">
        <v>26.88</v>
      </c>
      <c r="E943">
        <v>27.49</v>
      </c>
      <c r="F943">
        <v>24.93</v>
      </c>
      <c r="G943" s="1" t="s">
        <v>243</v>
      </c>
      <c r="H943">
        <v>-5.2499999999999998E-2</v>
      </c>
      <c r="I943" s="3">
        <f t="shared" si="14"/>
        <v>0.10490894695170223</v>
      </c>
    </row>
    <row r="944" spans="1:9" x14ac:dyDescent="0.35">
      <c r="A944" s="1" t="s">
        <v>652</v>
      </c>
      <c r="B944" s="2">
        <v>40513</v>
      </c>
      <c r="C944">
        <v>27.91</v>
      </c>
      <c r="D944">
        <v>25.57</v>
      </c>
      <c r="E944">
        <v>28.4</v>
      </c>
      <c r="F944">
        <v>25.56</v>
      </c>
      <c r="G944" s="1" t="s">
        <v>91</v>
      </c>
      <c r="H944">
        <v>0.10489999999999999</v>
      </c>
      <c r="I944" s="3">
        <f t="shared" si="14"/>
        <v>-6.4493013256897071E-3</v>
      </c>
    </row>
    <row r="945" spans="1:9" x14ac:dyDescent="0.35">
      <c r="A945" s="1" t="s">
        <v>652</v>
      </c>
      <c r="B945" s="2">
        <v>40544</v>
      </c>
      <c r="C945">
        <v>27.73</v>
      </c>
      <c r="D945">
        <v>28.05</v>
      </c>
      <c r="E945">
        <v>29.46</v>
      </c>
      <c r="F945">
        <v>27.42</v>
      </c>
      <c r="G945" s="1" t="s">
        <v>243</v>
      </c>
      <c r="H945">
        <v>-6.4000000000000003E-3</v>
      </c>
      <c r="I945" s="3">
        <f t="shared" si="14"/>
        <v>-4.1471330688784787E-2</v>
      </c>
    </row>
    <row r="946" spans="1:9" x14ac:dyDescent="0.35">
      <c r="A946" s="1" t="s">
        <v>652</v>
      </c>
      <c r="B946" s="2">
        <v>40575</v>
      </c>
      <c r="C946">
        <v>26.58</v>
      </c>
      <c r="D946">
        <v>27.8</v>
      </c>
      <c r="E946">
        <v>28.34</v>
      </c>
      <c r="F946">
        <v>26.43</v>
      </c>
      <c r="G946" s="1" t="s">
        <v>120</v>
      </c>
      <c r="H946">
        <v>-4.1500000000000002E-2</v>
      </c>
      <c r="I946" s="3">
        <f t="shared" si="14"/>
        <v>-4.4770504138449879E-2</v>
      </c>
    </row>
    <row r="947" spans="1:9" x14ac:dyDescent="0.35">
      <c r="A947" s="1" t="s">
        <v>652</v>
      </c>
      <c r="B947" s="2">
        <v>40603</v>
      </c>
      <c r="C947">
        <v>25.39</v>
      </c>
      <c r="D947">
        <v>26.6</v>
      </c>
      <c r="E947">
        <v>26.78</v>
      </c>
      <c r="F947">
        <v>24.68</v>
      </c>
      <c r="G947" s="1" t="s">
        <v>376</v>
      </c>
      <c r="H947">
        <v>-4.48E-2</v>
      </c>
      <c r="I947" s="3">
        <f t="shared" si="14"/>
        <v>2.0874359984245812E-2</v>
      </c>
    </row>
    <row r="948" spans="1:9" x14ac:dyDescent="0.35">
      <c r="A948" s="1" t="s">
        <v>652</v>
      </c>
      <c r="B948" s="2">
        <v>40634</v>
      </c>
      <c r="C948">
        <v>25.92</v>
      </c>
      <c r="D948">
        <v>25.53</v>
      </c>
      <c r="E948">
        <v>26.87</v>
      </c>
      <c r="F948">
        <v>24.72</v>
      </c>
      <c r="G948" s="1" t="s">
        <v>376</v>
      </c>
      <c r="H948">
        <v>2.0899999999999998E-2</v>
      </c>
      <c r="I948" s="3">
        <f t="shared" si="14"/>
        <v>-3.5108024691358028E-2</v>
      </c>
    </row>
    <row r="949" spans="1:9" x14ac:dyDescent="0.35">
      <c r="A949" s="1" t="s">
        <v>652</v>
      </c>
      <c r="B949" s="2">
        <v>40664</v>
      </c>
      <c r="C949">
        <v>25.01</v>
      </c>
      <c r="D949">
        <v>25.94</v>
      </c>
      <c r="E949">
        <v>26.25</v>
      </c>
      <c r="F949">
        <v>24.03</v>
      </c>
      <c r="G949" s="1" t="s">
        <v>243</v>
      </c>
      <c r="H949">
        <v>-3.5099999999999999E-2</v>
      </c>
      <c r="I949" s="3">
        <f t="shared" si="14"/>
        <v>3.958416633346655E-2</v>
      </c>
    </row>
    <row r="950" spans="1:9" x14ac:dyDescent="0.35">
      <c r="A950" s="1" t="s">
        <v>652</v>
      </c>
      <c r="B950" s="2">
        <v>40695</v>
      </c>
      <c r="C950">
        <v>26</v>
      </c>
      <c r="D950">
        <v>24.99</v>
      </c>
      <c r="E950">
        <v>26</v>
      </c>
      <c r="F950">
        <v>23.65</v>
      </c>
      <c r="G950" s="1" t="s">
        <v>373</v>
      </c>
      <c r="H950">
        <v>3.9600000000000003E-2</v>
      </c>
      <c r="I950" s="3">
        <f t="shared" si="14"/>
        <v>5.3846153846153794E-2</v>
      </c>
    </row>
    <row r="951" spans="1:9" x14ac:dyDescent="0.35">
      <c r="A951" s="1" t="s">
        <v>652</v>
      </c>
      <c r="B951" s="2">
        <v>40725</v>
      </c>
      <c r="C951">
        <v>27.4</v>
      </c>
      <c r="D951">
        <v>25.93</v>
      </c>
      <c r="E951">
        <v>28.14</v>
      </c>
      <c r="F951">
        <v>25.84</v>
      </c>
      <c r="G951" s="1" t="s">
        <v>252</v>
      </c>
      <c r="H951">
        <v>5.3800000000000001E-2</v>
      </c>
      <c r="I951" s="3">
        <f t="shared" si="14"/>
        <v>-2.9197080291970701E-2</v>
      </c>
    </row>
    <row r="952" spans="1:9" x14ac:dyDescent="0.35">
      <c r="A952" s="1" t="s">
        <v>652</v>
      </c>
      <c r="B952" s="2">
        <v>40756</v>
      </c>
      <c r="C952">
        <v>26.6</v>
      </c>
      <c r="D952">
        <v>27.51</v>
      </c>
      <c r="E952">
        <v>27.68</v>
      </c>
      <c r="F952">
        <v>23.79</v>
      </c>
      <c r="G952" s="1" t="s">
        <v>275</v>
      </c>
      <c r="H952">
        <v>-2.92E-2</v>
      </c>
      <c r="I952" s="3">
        <f t="shared" si="14"/>
        <v>-6.4285714285714321E-2</v>
      </c>
    </row>
    <row r="953" spans="1:9" x14ac:dyDescent="0.35">
      <c r="A953" s="1" t="s">
        <v>652</v>
      </c>
      <c r="B953" s="2">
        <v>40787</v>
      </c>
      <c r="C953">
        <v>24.89</v>
      </c>
      <c r="D953">
        <v>26.46</v>
      </c>
      <c r="E953">
        <v>27.5</v>
      </c>
      <c r="F953">
        <v>24.6</v>
      </c>
      <c r="G953" s="1" t="s">
        <v>374</v>
      </c>
      <c r="H953">
        <v>-6.4299999999999996E-2</v>
      </c>
      <c r="I953" s="3">
        <f t="shared" si="14"/>
        <v>6.990759341100837E-2</v>
      </c>
    </row>
    <row r="954" spans="1:9" x14ac:dyDescent="0.35">
      <c r="A954" s="1" t="s">
        <v>652</v>
      </c>
      <c r="B954" s="2">
        <v>40817</v>
      </c>
      <c r="C954">
        <v>26.63</v>
      </c>
      <c r="D954">
        <v>24.72</v>
      </c>
      <c r="E954">
        <v>27.5</v>
      </c>
      <c r="F954">
        <v>24.26</v>
      </c>
      <c r="G954" s="1" t="s">
        <v>240</v>
      </c>
      <c r="H954">
        <v>6.9900000000000004E-2</v>
      </c>
      <c r="I954" s="3">
        <f t="shared" si="14"/>
        <v>-3.9429215170859962E-2</v>
      </c>
    </row>
    <row r="955" spans="1:9" x14ac:dyDescent="0.35">
      <c r="A955" s="1" t="s">
        <v>652</v>
      </c>
      <c r="B955" s="2">
        <v>40848</v>
      </c>
      <c r="C955">
        <v>25.58</v>
      </c>
      <c r="D955">
        <v>26.19</v>
      </c>
      <c r="E955">
        <v>27.2</v>
      </c>
      <c r="F955">
        <v>24.3</v>
      </c>
      <c r="G955" s="1" t="s">
        <v>147</v>
      </c>
      <c r="H955">
        <v>-3.9399999999999998E-2</v>
      </c>
      <c r="I955" s="3">
        <f t="shared" si="14"/>
        <v>1.4855355746677193E-2</v>
      </c>
    </row>
    <row r="956" spans="1:9" x14ac:dyDescent="0.35">
      <c r="A956" s="1" t="s">
        <v>652</v>
      </c>
      <c r="B956" s="2">
        <v>40878</v>
      </c>
      <c r="C956">
        <v>25.96</v>
      </c>
      <c r="D956">
        <v>25.56</v>
      </c>
      <c r="E956">
        <v>26.19</v>
      </c>
      <c r="F956">
        <v>25.16</v>
      </c>
      <c r="G956" s="1" t="s">
        <v>118</v>
      </c>
      <c r="H956">
        <v>1.49E-2</v>
      </c>
      <c r="I956" s="3">
        <f t="shared" si="14"/>
        <v>0.13751926040061635</v>
      </c>
    </row>
    <row r="957" spans="1:9" x14ac:dyDescent="0.35">
      <c r="A957" s="1" t="s">
        <v>652</v>
      </c>
      <c r="B957" s="2">
        <v>40909</v>
      </c>
      <c r="C957">
        <v>29.53</v>
      </c>
      <c r="D957">
        <v>26.55</v>
      </c>
      <c r="E957">
        <v>29.95</v>
      </c>
      <c r="F957">
        <v>26.39</v>
      </c>
      <c r="G957" s="1" t="s">
        <v>115</v>
      </c>
      <c r="H957">
        <v>0.13750000000000001</v>
      </c>
      <c r="I957" s="3">
        <f t="shared" si="14"/>
        <v>7.4839146630545111E-2</v>
      </c>
    </row>
    <row r="958" spans="1:9" x14ac:dyDescent="0.35">
      <c r="A958" s="1" t="s">
        <v>652</v>
      </c>
      <c r="B958" s="2">
        <v>40940</v>
      </c>
      <c r="C958">
        <v>31.74</v>
      </c>
      <c r="D958">
        <v>29.79</v>
      </c>
      <c r="E958">
        <v>32</v>
      </c>
      <c r="F958">
        <v>29.71</v>
      </c>
      <c r="G958" s="1" t="s">
        <v>797</v>
      </c>
      <c r="H958">
        <v>7.4800000000000005E-2</v>
      </c>
      <c r="I958" s="3">
        <f t="shared" si="14"/>
        <v>1.6383112791430361E-2</v>
      </c>
    </row>
    <row r="959" spans="1:9" x14ac:dyDescent="0.35">
      <c r="A959" s="1" t="s">
        <v>652</v>
      </c>
      <c r="B959" s="2">
        <v>40969</v>
      </c>
      <c r="C959">
        <v>32.26</v>
      </c>
      <c r="D959">
        <v>31.93</v>
      </c>
      <c r="E959">
        <v>32.950000000000003</v>
      </c>
      <c r="F959">
        <v>31.49</v>
      </c>
      <c r="G959" s="1" t="s">
        <v>796</v>
      </c>
      <c r="H959">
        <v>1.6400000000000001E-2</v>
      </c>
      <c r="I959" s="3">
        <f t="shared" si="14"/>
        <v>-7.4395536267822353E-3</v>
      </c>
    </row>
    <row r="960" spans="1:9" x14ac:dyDescent="0.35">
      <c r="A960" s="1" t="s">
        <v>652</v>
      </c>
      <c r="B960" s="2">
        <v>41000</v>
      </c>
      <c r="C960">
        <v>32.020000000000003</v>
      </c>
      <c r="D960">
        <v>32.22</v>
      </c>
      <c r="E960">
        <v>32.89</v>
      </c>
      <c r="F960">
        <v>30.23</v>
      </c>
      <c r="G960" s="1" t="s">
        <v>795</v>
      </c>
      <c r="H960">
        <v>-7.4000000000000003E-3</v>
      </c>
      <c r="I960" s="3">
        <f t="shared" si="14"/>
        <v>-8.838226108682079E-2</v>
      </c>
    </row>
    <row r="961" spans="1:9" x14ac:dyDescent="0.35">
      <c r="A961" s="1" t="s">
        <v>652</v>
      </c>
      <c r="B961" s="2">
        <v>41030</v>
      </c>
      <c r="C961">
        <v>29.19</v>
      </c>
      <c r="D961">
        <v>32.049999999999997</v>
      </c>
      <c r="E961">
        <v>32.340000000000003</v>
      </c>
      <c r="F961">
        <v>28.64</v>
      </c>
      <c r="G961" s="1" t="s">
        <v>118</v>
      </c>
      <c r="H961">
        <v>-8.8400000000000006E-2</v>
      </c>
      <c r="I961" s="3">
        <f t="shared" si="14"/>
        <v>4.7961630695443597E-2</v>
      </c>
    </row>
    <row r="962" spans="1:9" x14ac:dyDescent="0.35">
      <c r="A962" s="1" t="s">
        <v>652</v>
      </c>
      <c r="B962" s="2">
        <v>41061</v>
      </c>
      <c r="C962">
        <v>30.59</v>
      </c>
      <c r="D962">
        <v>28.76</v>
      </c>
      <c r="E962">
        <v>31.14</v>
      </c>
      <c r="F962">
        <v>28.32</v>
      </c>
      <c r="G962" s="1" t="s">
        <v>794</v>
      </c>
      <c r="H962">
        <v>4.8000000000000001E-2</v>
      </c>
      <c r="I962" s="3">
        <f t="shared" ref="I962:I1025" si="15">IF(A963=A962, (C963-C962)/C962, 0)</f>
        <v>-3.6613272311212849E-2</v>
      </c>
    </row>
    <row r="963" spans="1:9" x14ac:dyDescent="0.35">
      <c r="A963" s="1" t="s">
        <v>652</v>
      </c>
      <c r="B963" s="2">
        <v>41091</v>
      </c>
      <c r="C963">
        <v>29.47</v>
      </c>
      <c r="D963">
        <v>30.62</v>
      </c>
      <c r="E963">
        <v>31.05</v>
      </c>
      <c r="F963">
        <v>28.54</v>
      </c>
      <c r="G963" s="1" t="s">
        <v>793</v>
      </c>
      <c r="H963">
        <v>-3.6600000000000001E-2</v>
      </c>
      <c r="I963" s="3">
        <f t="shared" si="15"/>
        <v>4.5809297590770327E-2</v>
      </c>
    </row>
    <row r="964" spans="1:9" x14ac:dyDescent="0.35">
      <c r="A964" s="1" t="s">
        <v>652</v>
      </c>
      <c r="B964" s="2">
        <v>41122</v>
      </c>
      <c r="C964">
        <v>30.82</v>
      </c>
      <c r="D964">
        <v>29.59</v>
      </c>
      <c r="E964">
        <v>30.96</v>
      </c>
      <c r="F964">
        <v>28.97</v>
      </c>
      <c r="G964" s="1" t="s">
        <v>792</v>
      </c>
      <c r="H964">
        <v>4.58E-2</v>
      </c>
      <c r="I964" s="3">
        <f t="shared" si="15"/>
        <v>-3.4393251135626177E-2</v>
      </c>
    </row>
    <row r="965" spans="1:9" x14ac:dyDescent="0.35">
      <c r="A965" s="1" t="s">
        <v>652</v>
      </c>
      <c r="B965" s="2">
        <v>41153</v>
      </c>
      <c r="C965">
        <v>29.76</v>
      </c>
      <c r="D965">
        <v>30.45</v>
      </c>
      <c r="E965">
        <v>31.61</v>
      </c>
      <c r="F965">
        <v>29.74</v>
      </c>
      <c r="G965" s="1" t="s">
        <v>791</v>
      </c>
      <c r="H965">
        <v>-3.44E-2</v>
      </c>
      <c r="I965" s="3">
        <f t="shared" si="15"/>
        <v>-4.099462365591406E-2</v>
      </c>
    </row>
    <row r="966" spans="1:9" x14ac:dyDescent="0.35">
      <c r="A966" s="1" t="s">
        <v>652</v>
      </c>
      <c r="B966" s="2">
        <v>41183</v>
      </c>
      <c r="C966">
        <v>28.54</v>
      </c>
      <c r="D966">
        <v>29.81</v>
      </c>
      <c r="E966">
        <v>30.25</v>
      </c>
      <c r="F966">
        <v>27.76</v>
      </c>
      <c r="G966" s="1" t="s">
        <v>120</v>
      </c>
      <c r="H966">
        <v>-4.1000000000000002E-2</v>
      </c>
      <c r="I966" s="3">
        <f t="shared" si="15"/>
        <v>-6.7624386825508045E-2</v>
      </c>
    </row>
    <row r="967" spans="1:9" x14ac:dyDescent="0.35">
      <c r="A967" s="1" t="s">
        <v>652</v>
      </c>
      <c r="B967" s="2">
        <v>41214</v>
      </c>
      <c r="C967">
        <v>26.61</v>
      </c>
      <c r="D967">
        <v>28.84</v>
      </c>
      <c r="E967">
        <v>30.2</v>
      </c>
      <c r="F967">
        <v>26.34</v>
      </c>
      <c r="G967" s="1" t="s">
        <v>376</v>
      </c>
      <c r="H967">
        <v>-6.7599999999999993E-2</v>
      </c>
      <c r="I967" s="3">
        <f t="shared" si="15"/>
        <v>3.7579857196543189E-3</v>
      </c>
    </row>
    <row r="968" spans="1:9" x14ac:dyDescent="0.35">
      <c r="A968" s="1" t="s">
        <v>652</v>
      </c>
      <c r="B968" s="2">
        <v>41244</v>
      </c>
      <c r="C968">
        <v>26.71</v>
      </c>
      <c r="D968">
        <v>26.78</v>
      </c>
      <c r="E968">
        <v>27.73</v>
      </c>
      <c r="F968">
        <v>26.26</v>
      </c>
      <c r="G968" s="1" t="s">
        <v>790</v>
      </c>
      <c r="H968">
        <v>3.8E-3</v>
      </c>
      <c r="I968" s="3">
        <f t="shared" si="15"/>
        <v>2.770497940846119E-2</v>
      </c>
    </row>
    <row r="969" spans="1:9" x14ac:dyDescent="0.35">
      <c r="A969" s="1" t="s">
        <v>652</v>
      </c>
      <c r="B969" s="2">
        <v>41275</v>
      </c>
      <c r="C969">
        <v>27.45</v>
      </c>
      <c r="D969">
        <v>27.25</v>
      </c>
      <c r="E969">
        <v>28.23</v>
      </c>
      <c r="F969">
        <v>26.28</v>
      </c>
      <c r="G969" s="1" t="s">
        <v>371</v>
      </c>
      <c r="H969">
        <v>2.7699999999999999E-2</v>
      </c>
      <c r="I969" s="3">
        <f t="shared" si="15"/>
        <v>1.2750455373406246E-2</v>
      </c>
    </row>
    <row r="970" spans="1:9" x14ac:dyDescent="0.35">
      <c r="A970" s="1" t="s">
        <v>652</v>
      </c>
      <c r="B970" s="2">
        <v>41306</v>
      </c>
      <c r="C970">
        <v>27.8</v>
      </c>
      <c r="D970">
        <v>27.67</v>
      </c>
      <c r="E970">
        <v>28.2</v>
      </c>
      <c r="F970">
        <v>27.1</v>
      </c>
      <c r="G970" s="1" t="s">
        <v>789</v>
      </c>
      <c r="H970">
        <v>1.2800000000000001E-2</v>
      </c>
      <c r="I970" s="3">
        <f t="shared" si="15"/>
        <v>2.9136690647481967E-2</v>
      </c>
    </row>
    <row r="971" spans="1:9" x14ac:dyDescent="0.35">
      <c r="A971" s="1" t="s">
        <v>652</v>
      </c>
      <c r="B971" s="2">
        <v>41334</v>
      </c>
      <c r="C971">
        <v>28.61</v>
      </c>
      <c r="D971">
        <v>27.72</v>
      </c>
      <c r="E971">
        <v>28.66</v>
      </c>
      <c r="F971">
        <v>27.52</v>
      </c>
      <c r="G971" s="1" t="s">
        <v>788</v>
      </c>
      <c r="H971">
        <v>2.9100000000000001E-2</v>
      </c>
      <c r="I971" s="3">
        <f t="shared" si="15"/>
        <v>0.15693813351974842</v>
      </c>
    </row>
    <row r="972" spans="1:9" x14ac:dyDescent="0.35">
      <c r="A972" s="1" t="s">
        <v>652</v>
      </c>
      <c r="B972" s="2">
        <v>41365</v>
      </c>
      <c r="C972">
        <v>33.1</v>
      </c>
      <c r="D972">
        <v>28.64</v>
      </c>
      <c r="E972">
        <v>33.11</v>
      </c>
      <c r="F972">
        <v>28.11</v>
      </c>
      <c r="G972" s="1" t="s">
        <v>158</v>
      </c>
      <c r="H972">
        <v>0.15690000000000001</v>
      </c>
      <c r="I972" s="3">
        <f t="shared" si="15"/>
        <v>5.4380664652567891E-2</v>
      </c>
    </row>
    <row r="973" spans="1:9" x14ac:dyDescent="0.35">
      <c r="A973" s="1" t="s">
        <v>652</v>
      </c>
      <c r="B973" s="2">
        <v>41395</v>
      </c>
      <c r="C973">
        <v>34.9</v>
      </c>
      <c r="D973">
        <v>32.93</v>
      </c>
      <c r="E973">
        <v>35.28</v>
      </c>
      <c r="F973">
        <v>32.32</v>
      </c>
      <c r="G973" s="1" t="s">
        <v>144</v>
      </c>
      <c r="H973">
        <v>5.4399999999999997E-2</v>
      </c>
      <c r="I973" s="3">
        <f t="shared" si="15"/>
        <v>-1.0028653295128981E-2</v>
      </c>
    </row>
    <row r="974" spans="1:9" x14ac:dyDescent="0.35">
      <c r="A974" s="1" t="s">
        <v>652</v>
      </c>
      <c r="B974" s="2">
        <v>41426</v>
      </c>
      <c r="C974">
        <v>34.549999999999997</v>
      </c>
      <c r="D974">
        <v>34.92</v>
      </c>
      <c r="E974">
        <v>35.78</v>
      </c>
      <c r="F974">
        <v>32.57</v>
      </c>
      <c r="G974" s="1" t="s">
        <v>787</v>
      </c>
      <c r="H974">
        <v>-0.01</v>
      </c>
      <c r="I974" s="3">
        <f t="shared" si="15"/>
        <v>-7.8437047756874018E-2</v>
      </c>
    </row>
    <row r="975" spans="1:9" x14ac:dyDescent="0.35">
      <c r="A975" s="1" t="s">
        <v>652</v>
      </c>
      <c r="B975" s="2">
        <v>41456</v>
      </c>
      <c r="C975">
        <v>31.84</v>
      </c>
      <c r="D975">
        <v>34.75</v>
      </c>
      <c r="E975">
        <v>36.43</v>
      </c>
      <c r="F975">
        <v>31.02</v>
      </c>
      <c r="G975" s="1" t="s">
        <v>120</v>
      </c>
      <c r="H975">
        <v>-7.8399999999999997E-2</v>
      </c>
      <c r="I975" s="3">
        <f t="shared" si="15"/>
        <v>4.8994974874371822E-2</v>
      </c>
    </row>
    <row r="976" spans="1:9" x14ac:dyDescent="0.35">
      <c r="A976" s="1" t="s">
        <v>652</v>
      </c>
      <c r="B976" s="2">
        <v>41487</v>
      </c>
      <c r="C976">
        <v>33.4</v>
      </c>
      <c r="D976">
        <v>32.06</v>
      </c>
      <c r="E976">
        <v>35.200000000000003</v>
      </c>
      <c r="F976">
        <v>30.84</v>
      </c>
      <c r="G976" s="1" t="s">
        <v>147</v>
      </c>
      <c r="H976">
        <v>4.9000000000000002E-2</v>
      </c>
      <c r="I976" s="3">
        <f t="shared" si="15"/>
        <v>-3.5928143712574087E-3</v>
      </c>
    </row>
    <row r="977" spans="1:9" x14ac:dyDescent="0.35">
      <c r="A977" s="1" t="s">
        <v>652</v>
      </c>
      <c r="B977" s="2">
        <v>41518</v>
      </c>
      <c r="C977">
        <v>33.28</v>
      </c>
      <c r="D977">
        <v>31.75</v>
      </c>
      <c r="E977">
        <v>33.75</v>
      </c>
      <c r="F977">
        <v>30.95</v>
      </c>
      <c r="G977" s="1" t="s">
        <v>251</v>
      </c>
      <c r="H977">
        <v>-3.5999999999999999E-3</v>
      </c>
      <c r="I977" s="3">
        <f t="shared" si="15"/>
        <v>6.4002403846153702E-2</v>
      </c>
    </row>
    <row r="978" spans="1:9" x14ac:dyDescent="0.35">
      <c r="A978" s="1" t="s">
        <v>652</v>
      </c>
      <c r="B978" s="2">
        <v>41548</v>
      </c>
      <c r="C978">
        <v>35.409999999999997</v>
      </c>
      <c r="D978">
        <v>33.35</v>
      </c>
      <c r="E978">
        <v>36.29</v>
      </c>
      <c r="F978">
        <v>32.799999999999997</v>
      </c>
      <c r="G978" s="1" t="s">
        <v>786</v>
      </c>
      <c r="H978">
        <v>6.4000000000000001E-2</v>
      </c>
      <c r="I978" s="3">
        <f t="shared" si="15"/>
        <v>7.6814459192318732E-2</v>
      </c>
    </row>
    <row r="979" spans="1:9" x14ac:dyDescent="0.35">
      <c r="A979" s="1" t="s">
        <v>652</v>
      </c>
      <c r="B979" s="2">
        <v>41579</v>
      </c>
      <c r="C979">
        <v>38.130000000000003</v>
      </c>
      <c r="D979">
        <v>35.67</v>
      </c>
      <c r="E979">
        <v>38.29</v>
      </c>
      <c r="F979">
        <v>35.39</v>
      </c>
      <c r="G979" s="1" t="s">
        <v>785</v>
      </c>
      <c r="H979">
        <v>7.6799999999999993E-2</v>
      </c>
      <c r="I979" s="3">
        <f t="shared" si="15"/>
        <v>-1.8882769472856175E-2</v>
      </c>
    </row>
    <row r="980" spans="1:9" x14ac:dyDescent="0.35">
      <c r="A980" s="1" t="s">
        <v>652</v>
      </c>
      <c r="B980" s="2">
        <v>41609</v>
      </c>
      <c r="C980">
        <v>37.409999999999997</v>
      </c>
      <c r="D980">
        <v>38.090000000000003</v>
      </c>
      <c r="E980">
        <v>38.979999999999997</v>
      </c>
      <c r="F980">
        <v>35.53</v>
      </c>
      <c r="G980" s="1" t="s">
        <v>784</v>
      </c>
      <c r="H980">
        <v>-1.89E-2</v>
      </c>
      <c r="I980" s="3">
        <f t="shared" si="15"/>
        <v>1.1494252873563402E-2</v>
      </c>
    </row>
    <row r="981" spans="1:9" x14ac:dyDescent="0.35">
      <c r="A981" s="1" t="s">
        <v>652</v>
      </c>
      <c r="B981" s="2">
        <v>41640</v>
      </c>
      <c r="C981">
        <v>37.840000000000003</v>
      </c>
      <c r="D981">
        <v>37.35</v>
      </c>
      <c r="E981">
        <v>37.89</v>
      </c>
      <c r="F981">
        <v>34.630000000000003</v>
      </c>
      <c r="G981" s="1" t="s">
        <v>783</v>
      </c>
      <c r="H981">
        <v>1.15E-2</v>
      </c>
      <c r="I981" s="3">
        <f t="shared" si="15"/>
        <v>1.2420718816067622E-2</v>
      </c>
    </row>
    <row r="982" spans="1:9" x14ac:dyDescent="0.35">
      <c r="A982" s="1" t="s">
        <v>652</v>
      </c>
      <c r="B982" s="2">
        <v>41671</v>
      </c>
      <c r="C982">
        <v>38.31</v>
      </c>
      <c r="D982">
        <v>37.74</v>
      </c>
      <c r="E982">
        <v>38.46</v>
      </c>
      <c r="F982">
        <v>35.69</v>
      </c>
      <c r="G982" s="1" t="s">
        <v>782</v>
      </c>
      <c r="H982">
        <v>1.24E-2</v>
      </c>
      <c r="I982" s="3">
        <f t="shared" si="15"/>
        <v>6.9955625163142771E-2</v>
      </c>
    </row>
    <row r="983" spans="1:9" x14ac:dyDescent="0.35">
      <c r="A983" s="1" t="s">
        <v>652</v>
      </c>
      <c r="B983" s="2">
        <v>41699</v>
      </c>
      <c r="C983">
        <v>40.99</v>
      </c>
      <c r="D983">
        <v>37.92</v>
      </c>
      <c r="E983">
        <v>41.5</v>
      </c>
      <c r="F983">
        <v>37.49</v>
      </c>
      <c r="G983" s="1" t="s">
        <v>781</v>
      </c>
      <c r="H983">
        <v>7.0000000000000007E-2</v>
      </c>
      <c r="I983" s="3">
        <f t="shared" si="15"/>
        <v>-1.4393754574286493E-2</v>
      </c>
    </row>
    <row r="984" spans="1:9" x14ac:dyDescent="0.35">
      <c r="A984" s="1" t="s">
        <v>652</v>
      </c>
      <c r="B984" s="2">
        <v>41730</v>
      </c>
      <c r="C984">
        <v>40.4</v>
      </c>
      <c r="D984">
        <v>41.15</v>
      </c>
      <c r="E984">
        <v>41.66</v>
      </c>
      <c r="F984">
        <v>38.9</v>
      </c>
      <c r="G984" s="1" t="s">
        <v>780</v>
      </c>
      <c r="H984">
        <v>-1.44E-2</v>
      </c>
      <c r="I984" s="3">
        <f t="shared" si="15"/>
        <v>1.3366336633663345E-2</v>
      </c>
    </row>
    <row r="985" spans="1:9" x14ac:dyDescent="0.35">
      <c r="A985" s="1" t="s">
        <v>652</v>
      </c>
      <c r="B985" s="2">
        <v>41760</v>
      </c>
      <c r="C985">
        <v>40.94</v>
      </c>
      <c r="D985">
        <v>40.24</v>
      </c>
      <c r="E985">
        <v>40.97</v>
      </c>
      <c r="F985">
        <v>38.51</v>
      </c>
      <c r="G985" s="1" t="s">
        <v>779</v>
      </c>
      <c r="H985">
        <v>1.34E-2</v>
      </c>
      <c r="I985" s="3">
        <f t="shared" si="15"/>
        <v>1.8563751831949318E-2</v>
      </c>
    </row>
    <row r="986" spans="1:9" x14ac:dyDescent="0.35">
      <c r="A986" s="1" t="s">
        <v>652</v>
      </c>
      <c r="B986" s="2">
        <v>41791</v>
      </c>
      <c r="C986">
        <v>41.7</v>
      </c>
      <c r="D986">
        <v>40.950000000000003</v>
      </c>
      <c r="E986">
        <v>42.29</v>
      </c>
      <c r="F986">
        <v>39.86</v>
      </c>
      <c r="G986" s="1" t="s">
        <v>778</v>
      </c>
      <c r="H986">
        <v>1.8599999999999998E-2</v>
      </c>
      <c r="I986" s="3">
        <f t="shared" si="15"/>
        <v>3.5011990407673707E-2</v>
      </c>
    </row>
    <row r="987" spans="1:9" x14ac:dyDescent="0.35">
      <c r="A987" s="1" t="s">
        <v>652</v>
      </c>
      <c r="B987" s="2">
        <v>41821</v>
      </c>
      <c r="C987">
        <v>43.16</v>
      </c>
      <c r="D987">
        <v>41.86</v>
      </c>
      <c r="E987">
        <v>45.71</v>
      </c>
      <c r="F987">
        <v>41.05</v>
      </c>
      <c r="G987" s="1" t="s">
        <v>777</v>
      </c>
      <c r="H987">
        <v>3.5000000000000003E-2</v>
      </c>
      <c r="I987" s="3">
        <f t="shared" si="15"/>
        <v>5.2594995366079783E-2</v>
      </c>
    </row>
    <row r="988" spans="1:9" x14ac:dyDescent="0.35">
      <c r="A988" s="1" t="s">
        <v>652</v>
      </c>
      <c r="B988" s="2">
        <v>41852</v>
      </c>
      <c r="C988">
        <v>45.43</v>
      </c>
      <c r="D988">
        <v>43.21</v>
      </c>
      <c r="E988">
        <v>45.47</v>
      </c>
      <c r="F988">
        <v>42.21</v>
      </c>
      <c r="G988" s="1" t="s">
        <v>776</v>
      </c>
      <c r="H988">
        <v>5.2600000000000001E-2</v>
      </c>
      <c r="I988" s="3">
        <f t="shared" si="15"/>
        <v>2.0471054369359448E-2</v>
      </c>
    </row>
    <row r="989" spans="1:9" x14ac:dyDescent="0.35">
      <c r="A989" s="1" t="s">
        <v>652</v>
      </c>
      <c r="B989" s="2">
        <v>41883</v>
      </c>
      <c r="C989">
        <v>46.36</v>
      </c>
      <c r="D989">
        <v>45.43</v>
      </c>
      <c r="E989">
        <v>47.57</v>
      </c>
      <c r="F989">
        <v>44.53</v>
      </c>
      <c r="G989" s="1" t="s">
        <v>775</v>
      </c>
      <c r="H989">
        <v>2.0500000000000001E-2</v>
      </c>
      <c r="I989" s="3">
        <f t="shared" si="15"/>
        <v>1.2726488352027684E-2</v>
      </c>
    </row>
    <row r="990" spans="1:9" x14ac:dyDescent="0.35">
      <c r="A990" s="1" t="s">
        <v>652</v>
      </c>
      <c r="B990" s="2">
        <v>41913</v>
      </c>
      <c r="C990">
        <v>46.95</v>
      </c>
      <c r="D990">
        <v>46.27</v>
      </c>
      <c r="E990">
        <v>46.97</v>
      </c>
      <c r="F990">
        <v>42.1</v>
      </c>
      <c r="G990" s="1" t="s">
        <v>774</v>
      </c>
      <c r="H990">
        <v>1.2699999999999999E-2</v>
      </c>
      <c r="I990" s="3">
        <f t="shared" si="15"/>
        <v>1.831735889243875E-2</v>
      </c>
    </row>
    <row r="991" spans="1:9" x14ac:dyDescent="0.35">
      <c r="A991" s="1" t="s">
        <v>652</v>
      </c>
      <c r="B991" s="2">
        <v>41944</v>
      </c>
      <c r="C991">
        <v>47.81</v>
      </c>
      <c r="D991">
        <v>46.89</v>
      </c>
      <c r="E991">
        <v>50.05</v>
      </c>
      <c r="F991">
        <v>46.73</v>
      </c>
      <c r="G991" s="1" t="s">
        <v>773</v>
      </c>
      <c r="H991">
        <v>1.83E-2</v>
      </c>
      <c r="I991" s="3">
        <f t="shared" si="15"/>
        <v>-2.8445931813428142E-2</v>
      </c>
    </row>
    <row r="992" spans="1:9" x14ac:dyDescent="0.35">
      <c r="A992" s="1" t="s">
        <v>652</v>
      </c>
      <c r="B992" s="2">
        <v>41974</v>
      </c>
      <c r="C992">
        <v>46.45</v>
      </c>
      <c r="D992">
        <v>47.88</v>
      </c>
      <c r="E992">
        <v>49.06</v>
      </c>
      <c r="F992">
        <v>44.9</v>
      </c>
      <c r="G992" s="1" t="s">
        <v>772</v>
      </c>
      <c r="H992">
        <v>-2.8400000000000002E-2</v>
      </c>
      <c r="I992" s="3">
        <f t="shared" si="15"/>
        <v>-0.13024757804090428</v>
      </c>
    </row>
    <row r="993" spans="1:9" x14ac:dyDescent="0.35">
      <c r="A993" s="1" t="s">
        <v>652</v>
      </c>
      <c r="B993" s="2">
        <v>42005</v>
      </c>
      <c r="C993">
        <v>40.4</v>
      </c>
      <c r="D993">
        <v>46.66</v>
      </c>
      <c r="E993">
        <v>47.91</v>
      </c>
      <c r="F993">
        <v>40.35</v>
      </c>
      <c r="G993" s="1" t="s">
        <v>771</v>
      </c>
      <c r="H993">
        <v>-0.13020000000000001</v>
      </c>
      <c r="I993" s="3">
        <f t="shared" si="15"/>
        <v>8.5396039603960472E-2</v>
      </c>
    </row>
    <row r="994" spans="1:9" x14ac:dyDescent="0.35">
      <c r="A994" s="1" t="s">
        <v>652</v>
      </c>
      <c r="B994" s="2">
        <v>42036</v>
      </c>
      <c r="C994">
        <v>43.85</v>
      </c>
      <c r="D994">
        <v>40.590000000000003</v>
      </c>
      <c r="E994">
        <v>44.3</v>
      </c>
      <c r="F994">
        <v>40.229999999999997</v>
      </c>
      <c r="G994" s="1" t="s">
        <v>770</v>
      </c>
      <c r="H994">
        <v>8.5400000000000004E-2</v>
      </c>
      <c r="I994" s="3">
        <f t="shared" si="15"/>
        <v>-7.2748004561003526E-2</v>
      </c>
    </row>
    <row r="995" spans="1:9" x14ac:dyDescent="0.35">
      <c r="A995" s="1" t="s">
        <v>652</v>
      </c>
      <c r="B995" s="2">
        <v>42064</v>
      </c>
      <c r="C995">
        <v>40.659999999999997</v>
      </c>
      <c r="D995">
        <v>43.67</v>
      </c>
      <c r="E995">
        <v>44.19</v>
      </c>
      <c r="F995">
        <v>40.54</v>
      </c>
      <c r="G995" s="1" t="s">
        <v>769</v>
      </c>
      <c r="H995">
        <v>-7.2700000000000001E-2</v>
      </c>
      <c r="I995" s="3">
        <f t="shared" si="15"/>
        <v>0.19626168224299076</v>
      </c>
    </row>
    <row r="996" spans="1:9" x14ac:dyDescent="0.35">
      <c r="A996" s="1" t="s">
        <v>652</v>
      </c>
      <c r="B996" s="2">
        <v>42095</v>
      </c>
      <c r="C996">
        <v>48.64</v>
      </c>
      <c r="D996">
        <v>40.6</v>
      </c>
      <c r="E996">
        <v>49.54</v>
      </c>
      <c r="F996">
        <v>40.119999999999997</v>
      </c>
      <c r="G996" s="1" t="s">
        <v>768</v>
      </c>
      <c r="H996">
        <v>0.1963</v>
      </c>
      <c r="I996" s="3">
        <f t="shared" si="15"/>
        <v>-3.6595394736842125E-2</v>
      </c>
    </row>
    <row r="997" spans="1:9" x14ac:dyDescent="0.35">
      <c r="A997" s="1" t="s">
        <v>652</v>
      </c>
      <c r="B997" s="2">
        <v>42125</v>
      </c>
      <c r="C997">
        <v>46.86</v>
      </c>
      <c r="D997">
        <v>48.58</v>
      </c>
      <c r="E997">
        <v>48.91</v>
      </c>
      <c r="F997">
        <v>46.02</v>
      </c>
      <c r="G997" s="1" t="s">
        <v>767</v>
      </c>
      <c r="H997">
        <v>-3.6600000000000001E-2</v>
      </c>
      <c r="I997" s="3">
        <f t="shared" si="15"/>
        <v>-5.7831839521980385E-2</v>
      </c>
    </row>
    <row r="998" spans="1:9" x14ac:dyDescent="0.35">
      <c r="A998" s="1" t="s">
        <v>652</v>
      </c>
      <c r="B998" s="2">
        <v>42156</v>
      </c>
      <c r="C998">
        <v>44.15</v>
      </c>
      <c r="D998">
        <v>47.06</v>
      </c>
      <c r="E998">
        <v>47.77</v>
      </c>
      <c r="F998">
        <v>43.94</v>
      </c>
      <c r="G998" s="1" t="s">
        <v>766</v>
      </c>
      <c r="H998">
        <v>-5.7799999999999997E-2</v>
      </c>
      <c r="I998" s="3">
        <f t="shared" si="15"/>
        <v>5.7757644394111081E-2</v>
      </c>
    </row>
    <row r="999" spans="1:9" x14ac:dyDescent="0.35">
      <c r="A999" s="1" t="s">
        <v>652</v>
      </c>
      <c r="B999" s="2">
        <v>42186</v>
      </c>
      <c r="C999">
        <v>46.7</v>
      </c>
      <c r="D999">
        <v>44.46</v>
      </c>
      <c r="E999">
        <v>47.4</v>
      </c>
      <c r="F999">
        <v>43.32</v>
      </c>
      <c r="G999" s="1" t="s">
        <v>765</v>
      </c>
      <c r="H999">
        <v>5.7799999999999997E-2</v>
      </c>
      <c r="I999" s="3">
        <f t="shared" si="15"/>
        <v>-6.8094218415417546E-2</v>
      </c>
    </row>
    <row r="1000" spans="1:9" x14ac:dyDescent="0.35">
      <c r="A1000" s="1" t="s">
        <v>652</v>
      </c>
      <c r="B1000" s="2">
        <v>42217</v>
      </c>
      <c r="C1000">
        <v>43.52</v>
      </c>
      <c r="D1000">
        <v>46.98</v>
      </c>
      <c r="E1000">
        <v>48.41</v>
      </c>
      <c r="F1000">
        <v>39.72</v>
      </c>
      <c r="G1000" s="1" t="s">
        <v>764</v>
      </c>
      <c r="H1000">
        <v>-6.8099999999999994E-2</v>
      </c>
      <c r="I1000" s="3">
        <f t="shared" si="15"/>
        <v>1.7003676470588116E-2</v>
      </c>
    </row>
    <row r="1001" spans="1:9" x14ac:dyDescent="0.35">
      <c r="A1001" s="1" t="s">
        <v>652</v>
      </c>
      <c r="B1001" s="2">
        <v>42248</v>
      </c>
      <c r="C1001">
        <v>44.26</v>
      </c>
      <c r="D1001">
        <v>42.17</v>
      </c>
      <c r="E1001">
        <v>45</v>
      </c>
      <c r="F1001">
        <v>41.66</v>
      </c>
      <c r="G1001" s="1" t="s">
        <v>763</v>
      </c>
      <c r="H1001">
        <v>1.7000000000000001E-2</v>
      </c>
      <c r="I1001" s="3">
        <f t="shared" si="15"/>
        <v>0.18933574333483966</v>
      </c>
    </row>
    <row r="1002" spans="1:9" x14ac:dyDescent="0.35">
      <c r="A1002" s="1" t="s">
        <v>652</v>
      </c>
      <c r="B1002" s="2">
        <v>42278</v>
      </c>
      <c r="C1002">
        <v>52.64</v>
      </c>
      <c r="D1002">
        <v>44.75</v>
      </c>
      <c r="E1002">
        <v>54.37</v>
      </c>
      <c r="F1002">
        <v>43.75</v>
      </c>
      <c r="G1002" s="1" t="s">
        <v>762</v>
      </c>
      <c r="H1002">
        <v>0.1893</v>
      </c>
      <c r="I1002" s="3">
        <f t="shared" si="15"/>
        <v>3.2484802431610955E-2</v>
      </c>
    </row>
    <row r="1003" spans="1:9" x14ac:dyDescent="0.35">
      <c r="A1003" s="1" t="s">
        <v>652</v>
      </c>
      <c r="B1003" s="2">
        <v>42309</v>
      </c>
      <c r="C1003">
        <v>54.35</v>
      </c>
      <c r="D1003">
        <v>52.85</v>
      </c>
      <c r="E1003">
        <v>54.98</v>
      </c>
      <c r="F1003">
        <v>52.53</v>
      </c>
      <c r="G1003" s="1" t="s">
        <v>761</v>
      </c>
      <c r="H1003">
        <v>3.2500000000000001E-2</v>
      </c>
      <c r="I1003" s="3">
        <f t="shared" si="15"/>
        <v>2.0791168353265783E-2</v>
      </c>
    </row>
    <row r="1004" spans="1:9" x14ac:dyDescent="0.35">
      <c r="A1004" s="1" t="s">
        <v>652</v>
      </c>
      <c r="B1004" s="2">
        <v>42339</v>
      </c>
      <c r="C1004">
        <v>55.48</v>
      </c>
      <c r="D1004">
        <v>54.41</v>
      </c>
      <c r="E1004">
        <v>56.85</v>
      </c>
      <c r="F1004">
        <v>53.68</v>
      </c>
      <c r="G1004" s="1" t="s">
        <v>760</v>
      </c>
      <c r="H1004">
        <v>2.0799999999999999E-2</v>
      </c>
      <c r="I1004" s="3">
        <f t="shared" si="15"/>
        <v>-7.0295602018744319E-3</v>
      </c>
    </row>
    <row r="1005" spans="1:9" x14ac:dyDescent="0.35">
      <c r="A1005" s="1" t="s">
        <v>652</v>
      </c>
      <c r="B1005" s="2">
        <v>42370</v>
      </c>
      <c r="C1005">
        <v>55.09</v>
      </c>
      <c r="D1005">
        <v>54.32</v>
      </c>
      <c r="E1005">
        <v>55.39</v>
      </c>
      <c r="F1005">
        <v>49.1</v>
      </c>
      <c r="G1005" s="1" t="s">
        <v>759</v>
      </c>
      <c r="H1005">
        <v>-7.0000000000000001E-3</v>
      </c>
      <c r="I1005" s="3">
        <f t="shared" si="15"/>
        <v>-7.6420402976946827E-2</v>
      </c>
    </row>
    <row r="1006" spans="1:9" x14ac:dyDescent="0.35">
      <c r="A1006" s="1" t="s">
        <v>652</v>
      </c>
      <c r="B1006" s="2">
        <v>42401</v>
      </c>
      <c r="C1006">
        <v>50.88</v>
      </c>
      <c r="D1006">
        <v>54.88</v>
      </c>
      <c r="E1006">
        <v>55.09</v>
      </c>
      <c r="F1006">
        <v>48.19</v>
      </c>
      <c r="G1006" s="1" t="s">
        <v>758</v>
      </c>
      <c r="H1006">
        <v>-7.6399999999999996E-2</v>
      </c>
      <c r="I1006" s="3">
        <f t="shared" si="15"/>
        <v>8.5495283018867815E-2</v>
      </c>
    </row>
    <row r="1007" spans="1:9" x14ac:dyDescent="0.35">
      <c r="A1007" s="1" t="s">
        <v>652</v>
      </c>
      <c r="B1007" s="2">
        <v>42430</v>
      </c>
      <c r="C1007">
        <v>55.23</v>
      </c>
      <c r="D1007">
        <v>50.97</v>
      </c>
      <c r="E1007">
        <v>55.64</v>
      </c>
      <c r="F1007">
        <v>50.58</v>
      </c>
      <c r="G1007" s="1" t="s">
        <v>757</v>
      </c>
      <c r="H1007">
        <v>8.5500000000000007E-2</v>
      </c>
      <c r="I1007" s="3">
        <f t="shared" si="15"/>
        <v>-9.7048705413724415E-2</v>
      </c>
    </row>
    <row r="1008" spans="1:9" x14ac:dyDescent="0.35">
      <c r="A1008" s="1" t="s">
        <v>652</v>
      </c>
      <c r="B1008" s="2">
        <v>42461</v>
      </c>
      <c r="C1008">
        <v>49.87</v>
      </c>
      <c r="D1008">
        <v>55.05</v>
      </c>
      <c r="E1008">
        <v>56.77</v>
      </c>
      <c r="F1008">
        <v>49.35</v>
      </c>
      <c r="G1008" s="1" t="s">
        <v>756</v>
      </c>
      <c r="H1008">
        <v>-9.7000000000000003E-2</v>
      </c>
      <c r="I1008" s="3">
        <f t="shared" si="15"/>
        <v>6.2763184279125778E-2</v>
      </c>
    </row>
    <row r="1009" spans="1:9" x14ac:dyDescent="0.35">
      <c r="A1009" s="1" t="s">
        <v>652</v>
      </c>
      <c r="B1009" s="2">
        <v>42491</v>
      </c>
      <c r="C1009">
        <v>53</v>
      </c>
      <c r="D1009">
        <v>50</v>
      </c>
      <c r="E1009">
        <v>53</v>
      </c>
      <c r="F1009">
        <v>49.46</v>
      </c>
      <c r="G1009" s="1" t="s">
        <v>755</v>
      </c>
      <c r="H1009">
        <v>6.2799999999999995E-2</v>
      </c>
      <c r="I1009" s="3">
        <f t="shared" si="15"/>
        <v>-3.4528301886792422E-2</v>
      </c>
    </row>
    <row r="1010" spans="1:9" x14ac:dyDescent="0.35">
      <c r="A1010" s="1" t="s">
        <v>652</v>
      </c>
      <c r="B1010" s="2">
        <v>42522</v>
      </c>
      <c r="C1010">
        <v>51.17</v>
      </c>
      <c r="D1010">
        <v>52.44</v>
      </c>
      <c r="E1010">
        <v>52.95</v>
      </c>
      <c r="F1010">
        <v>48.03</v>
      </c>
      <c r="G1010" s="1" t="s">
        <v>754</v>
      </c>
      <c r="H1010">
        <v>-3.4500000000000003E-2</v>
      </c>
      <c r="I1010" s="3">
        <f t="shared" si="15"/>
        <v>0.1076802814148915</v>
      </c>
    </row>
    <row r="1011" spans="1:9" x14ac:dyDescent="0.35">
      <c r="A1011" s="1" t="s">
        <v>652</v>
      </c>
      <c r="B1011" s="2">
        <v>42552</v>
      </c>
      <c r="C1011">
        <v>56.68</v>
      </c>
      <c r="D1011">
        <v>51.13</v>
      </c>
      <c r="E1011">
        <v>57.29</v>
      </c>
      <c r="F1011">
        <v>50.39</v>
      </c>
      <c r="G1011" s="1" t="s">
        <v>753</v>
      </c>
      <c r="H1011">
        <v>0.1077</v>
      </c>
      <c r="I1011" s="3">
        <f t="shared" si="15"/>
        <v>1.3761467889908277E-2</v>
      </c>
    </row>
    <row r="1012" spans="1:9" x14ac:dyDescent="0.35">
      <c r="A1012" s="1" t="s">
        <v>652</v>
      </c>
      <c r="B1012" s="2">
        <v>42583</v>
      </c>
      <c r="C1012">
        <v>57.46</v>
      </c>
      <c r="D1012">
        <v>56.6</v>
      </c>
      <c r="E1012">
        <v>58.7</v>
      </c>
      <c r="F1012">
        <v>56.14</v>
      </c>
      <c r="G1012" s="1" t="s">
        <v>752</v>
      </c>
      <c r="H1012">
        <v>1.38E-2</v>
      </c>
      <c r="I1012" s="3">
        <f t="shared" si="15"/>
        <v>2.4364775495997314E-3</v>
      </c>
    </row>
    <row r="1013" spans="1:9" x14ac:dyDescent="0.35">
      <c r="A1013" s="1" t="s">
        <v>652</v>
      </c>
      <c r="B1013" s="2">
        <v>42614</v>
      </c>
      <c r="C1013">
        <v>57.6</v>
      </c>
      <c r="D1013">
        <v>57.01</v>
      </c>
      <c r="E1013">
        <v>58.19</v>
      </c>
      <c r="F1013">
        <v>55.61</v>
      </c>
      <c r="G1013" s="1" t="s">
        <v>751</v>
      </c>
      <c r="H1013">
        <v>2.3999999999999998E-3</v>
      </c>
      <c r="I1013" s="3">
        <f t="shared" si="15"/>
        <v>4.027777777777778E-2</v>
      </c>
    </row>
    <row r="1014" spans="1:9" x14ac:dyDescent="0.35">
      <c r="A1014" s="1" t="s">
        <v>652</v>
      </c>
      <c r="B1014" s="2">
        <v>42644</v>
      </c>
      <c r="C1014">
        <v>59.92</v>
      </c>
      <c r="D1014">
        <v>57.41</v>
      </c>
      <c r="E1014">
        <v>61.37</v>
      </c>
      <c r="F1014">
        <v>56.31</v>
      </c>
      <c r="G1014" s="1" t="s">
        <v>750</v>
      </c>
      <c r="H1014">
        <v>4.0300000000000002E-2</v>
      </c>
      <c r="I1014" s="3">
        <f t="shared" si="15"/>
        <v>5.6742323097462664E-3</v>
      </c>
    </row>
    <row r="1015" spans="1:9" x14ac:dyDescent="0.35">
      <c r="A1015" s="1" t="s">
        <v>652</v>
      </c>
      <c r="B1015" s="2">
        <v>42675</v>
      </c>
      <c r="C1015">
        <v>60.26</v>
      </c>
      <c r="D1015">
        <v>59.97</v>
      </c>
      <c r="E1015">
        <v>61.41</v>
      </c>
      <c r="F1015">
        <v>57.28</v>
      </c>
      <c r="G1015" s="1" t="s">
        <v>749</v>
      </c>
      <c r="H1015">
        <v>5.7000000000000002E-3</v>
      </c>
      <c r="I1015" s="3">
        <f t="shared" si="15"/>
        <v>3.1198141387321649E-2</v>
      </c>
    </row>
    <row r="1016" spans="1:9" x14ac:dyDescent="0.35">
      <c r="A1016" s="1" t="s">
        <v>652</v>
      </c>
      <c r="B1016" s="2">
        <v>42705</v>
      </c>
      <c r="C1016">
        <v>62.14</v>
      </c>
      <c r="D1016">
        <v>60.11</v>
      </c>
      <c r="E1016">
        <v>64.099999999999994</v>
      </c>
      <c r="F1016">
        <v>58.8</v>
      </c>
      <c r="G1016" s="1" t="s">
        <v>748</v>
      </c>
      <c r="H1016">
        <v>3.1199999999999999E-2</v>
      </c>
      <c r="I1016" s="3">
        <f t="shared" si="15"/>
        <v>4.0392661731573951E-2</v>
      </c>
    </row>
    <row r="1017" spans="1:9" x14ac:dyDescent="0.35">
      <c r="A1017" s="1" t="s">
        <v>652</v>
      </c>
      <c r="B1017" s="2">
        <v>42736</v>
      </c>
      <c r="C1017">
        <v>64.650000000000006</v>
      </c>
      <c r="D1017">
        <v>62.79</v>
      </c>
      <c r="E1017">
        <v>65.91</v>
      </c>
      <c r="F1017">
        <v>61.95</v>
      </c>
      <c r="G1017" s="1" t="s">
        <v>747</v>
      </c>
      <c r="H1017">
        <v>4.0399999999999998E-2</v>
      </c>
      <c r="I1017" s="3">
        <f t="shared" si="15"/>
        <v>-1.0363495746326508E-2</v>
      </c>
    </row>
    <row r="1018" spans="1:9" x14ac:dyDescent="0.35">
      <c r="A1018" s="1" t="s">
        <v>652</v>
      </c>
      <c r="B1018" s="2">
        <v>42767</v>
      </c>
      <c r="C1018">
        <v>63.98</v>
      </c>
      <c r="D1018">
        <v>64.36</v>
      </c>
      <c r="E1018">
        <v>65.239999999999995</v>
      </c>
      <c r="F1018">
        <v>62.75</v>
      </c>
      <c r="G1018" s="1" t="s">
        <v>746</v>
      </c>
      <c r="H1018">
        <v>-1.04E-2</v>
      </c>
      <c r="I1018" s="3">
        <f t="shared" si="15"/>
        <v>2.938418255704912E-2</v>
      </c>
    </row>
    <row r="1019" spans="1:9" x14ac:dyDescent="0.35">
      <c r="A1019" s="1" t="s">
        <v>652</v>
      </c>
      <c r="B1019" s="2">
        <v>42795</v>
      </c>
      <c r="C1019">
        <v>65.86</v>
      </c>
      <c r="D1019">
        <v>64.13</v>
      </c>
      <c r="E1019">
        <v>66.19</v>
      </c>
      <c r="F1019">
        <v>63.62</v>
      </c>
      <c r="G1019" s="1" t="s">
        <v>745</v>
      </c>
      <c r="H1019">
        <v>2.9399999999999999E-2</v>
      </c>
      <c r="I1019" s="3">
        <f t="shared" si="15"/>
        <v>3.9477679927118044E-2</v>
      </c>
    </row>
    <row r="1020" spans="1:9" x14ac:dyDescent="0.35">
      <c r="A1020" s="1" t="s">
        <v>652</v>
      </c>
      <c r="B1020" s="2">
        <v>42826</v>
      </c>
      <c r="C1020">
        <v>68.459999999999994</v>
      </c>
      <c r="D1020">
        <v>65.81</v>
      </c>
      <c r="E1020">
        <v>69.14</v>
      </c>
      <c r="F1020">
        <v>64.849999999999994</v>
      </c>
      <c r="G1020" s="1" t="s">
        <v>744</v>
      </c>
      <c r="H1020">
        <v>3.95E-2</v>
      </c>
      <c r="I1020" s="3">
        <f t="shared" si="15"/>
        <v>2.0157756354075514E-2</v>
      </c>
    </row>
    <row r="1021" spans="1:9" x14ac:dyDescent="0.35">
      <c r="A1021" s="1" t="s">
        <v>652</v>
      </c>
      <c r="B1021" s="2">
        <v>42856</v>
      </c>
      <c r="C1021">
        <v>69.84</v>
      </c>
      <c r="D1021">
        <v>68.680000000000007</v>
      </c>
      <c r="E1021">
        <v>70.739999999999995</v>
      </c>
      <c r="F1021">
        <v>67.14</v>
      </c>
      <c r="G1021" s="1" t="s">
        <v>743</v>
      </c>
      <c r="H1021">
        <v>2.0199999999999999E-2</v>
      </c>
      <c r="I1021" s="3">
        <f t="shared" si="15"/>
        <v>-1.3029782359679217E-2</v>
      </c>
    </row>
    <row r="1022" spans="1:9" x14ac:dyDescent="0.35">
      <c r="A1022" s="1" t="s">
        <v>652</v>
      </c>
      <c r="B1022" s="2">
        <v>42887</v>
      </c>
      <c r="C1022">
        <v>68.930000000000007</v>
      </c>
      <c r="D1022">
        <v>70.239999999999995</v>
      </c>
      <c r="E1022">
        <v>72.89</v>
      </c>
      <c r="F1022">
        <v>68.09</v>
      </c>
      <c r="G1022" s="1" t="s">
        <v>742</v>
      </c>
      <c r="H1022">
        <v>-1.2999999999999999E-2</v>
      </c>
      <c r="I1022" s="3">
        <f t="shared" si="15"/>
        <v>5.4693166980995148E-2</v>
      </c>
    </row>
    <row r="1023" spans="1:9" x14ac:dyDescent="0.35">
      <c r="A1023" s="1" t="s">
        <v>652</v>
      </c>
      <c r="B1023" s="2">
        <v>42917</v>
      </c>
      <c r="C1023">
        <v>72.7</v>
      </c>
      <c r="D1023">
        <v>69.33</v>
      </c>
      <c r="E1023">
        <v>74.42</v>
      </c>
      <c r="F1023">
        <v>68.02</v>
      </c>
      <c r="G1023" s="1" t="s">
        <v>741</v>
      </c>
      <c r="H1023">
        <v>5.4699999999999999E-2</v>
      </c>
      <c r="I1023" s="3">
        <f t="shared" si="15"/>
        <v>2.8473177441540484E-2</v>
      </c>
    </row>
    <row r="1024" spans="1:9" x14ac:dyDescent="0.35">
      <c r="A1024" s="1" t="s">
        <v>652</v>
      </c>
      <c r="B1024" s="2">
        <v>42948</v>
      </c>
      <c r="C1024">
        <v>74.77</v>
      </c>
      <c r="D1024">
        <v>73.099999999999994</v>
      </c>
      <c r="E1024">
        <v>74.959999999999994</v>
      </c>
      <c r="F1024">
        <v>71.28</v>
      </c>
      <c r="G1024" s="1" t="s">
        <v>740</v>
      </c>
      <c r="H1024">
        <v>2.8500000000000001E-2</v>
      </c>
      <c r="I1024" s="3">
        <f t="shared" si="15"/>
        <v>-3.7448174401498082E-3</v>
      </c>
    </row>
    <row r="1025" spans="1:9" x14ac:dyDescent="0.35">
      <c r="A1025" s="1" t="s">
        <v>652</v>
      </c>
      <c r="B1025" s="2">
        <v>42979</v>
      </c>
      <c r="C1025">
        <v>74.489999999999995</v>
      </c>
      <c r="D1025">
        <v>74.709999999999994</v>
      </c>
      <c r="E1025">
        <v>75.97</v>
      </c>
      <c r="F1025">
        <v>72.92</v>
      </c>
      <c r="G1025" s="1" t="s">
        <v>739</v>
      </c>
      <c r="H1025">
        <v>-3.7000000000000002E-3</v>
      </c>
      <c r="I1025" s="3">
        <f t="shared" si="15"/>
        <v>0.11665995435628961</v>
      </c>
    </row>
    <row r="1026" spans="1:9" x14ac:dyDescent="0.35">
      <c r="A1026" s="1" t="s">
        <v>652</v>
      </c>
      <c r="B1026" s="2">
        <v>43009</v>
      </c>
      <c r="C1026">
        <v>83.18</v>
      </c>
      <c r="D1026">
        <v>74.709999999999994</v>
      </c>
      <c r="E1026">
        <v>86.2</v>
      </c>
      <c r="F1026">
        <v>73.709999999999994</v>
      </c>
      <c r="G1026" s="1" t="s">
        <v>738</v>
      </c>
      <c r="H1026">
        <v>0.1167</v>
      </c>
      <c r="I1026" s="3">
        <f t="shared" ref="I1026:I1089" si="16">IF(A1027=A1026, (C1027-C1026)/C1026, 0)</f>
        <v>1.1901899495070868E-2</v>
      </c>
    </row>
    <row r="1027" spans="1:9" x14ac:dyDescent="0.35">
      <c r="A1027" s="1" t="s">
        <v>652</v>
      </c>
      <c r="B1027" s="2">
        <v>43040</v>
      </c>
      <c r="C1027">
        <v>84.17</v>
      </c>
      <c r="D1027">
        <v>83.68</v>
      </c>
      <c r="E1027">
        <v>85.06</v>
      </c>
      <c r="F1027">
        <v>82.24</v>
      </c>
      <c r="G1027" s="1" t="s">
        <v>737</v>
      </c>
      <c r="H1027">
        <v>1.1900000000000001E-2</v>
      </c>
      <c r="I1027" s="3">
        <f t="shared" si="16"/>
        <v>1.6276583105619632E-2</v>
      </c>
    </row>
    <row r="1028" spans="1:9" x14ac:dyDescent="0.35">
      <c r="A1028" s="1" t="s">
        <v>652</v>
      </c>
      <c r="B1028" s="2">
        <v>43070</v>
      </c>
      <c r="C1028">
        <v>85.54</v>
      </c>
      <c r="D1028">
        <v>83.6</v>
      </c>
      <c r="E1028">
        <v>87.5</v>
      </c>
      <c r="F1028">
        <v>80.7</v>
      </c>
      <c r="G1028" s="1" t="s">
        <v>736</v>
      </c>
      <c r="H1028">
        <v>1.6299999999999999E-2</v>
      </c>
      <c r="I1028" s="3">
        <f t="shared" si="16"/>
        <v>0.11070844049567452</v>
      </c>
    </row>
    <row r="1029" spans="1:9" x14ac:dyDescent="0.35">
      <c r="A1029" s="1" t="s">
        <v>652</v>
      </c>
      <c r="B1029" s="2">
        <v>43101</v>
      </c>
      <c r="C1029">
        <v>95.01</v>
      </c>
      <c r="D1029">
        <v>86.12</v>
      </c>
      <c r="E1029">
        <v>95.45</v>
      </c>
      <c r="F1029">
        <v>85.5</v>
      </c>
      <c r="G1029" s="1" t="s">
        <v>735</v>
      </c>
      <c r="H1029">
        <v>0.11070000000000001</v>
      </c>
      <c r="I1029" s="3">
        <f t="shared" si="16"/>
        <v>-1.3051257762340901E-2</v>
      </c>
    </row>
    <row r="1030" spans="1:9" x14ac:dyDescent="0.35">
      <c r="A1030" s="1" t="s">
        <v>652</v>
      </c>
      <c r="B1030" s="2">
        <v>43132</v>
      </c>
      <c r="C1030">
        <v>93.77</v>
      </c>
      <c r="D1030">
        <v>94.79</v>
      </c>
      <c r="E1030">
        <v>96.07</v>
      </c>
      <c r="F1030">
        <v>83.83</v>
      </c>
      <c r="G1030" s="1" t="s">
        <v>734</v>
      </c>
      <c r="H1030">
        <v>-1.3100000000000001E-2</v>
      </c>
      <c r="I1030" s="3">
        <f t="shared" si="16"/>
        <v>-2.6660978991148557E-2</v>
      </c>
    </row>
    <row r="1031" spans="1:9" x14ac:dyDescent="0.35">
      <c r="A1031" s="1" t="s">
        <v>652</v>
      </c>
      <c r="B1031" s="2">
        <v>43160</v>
      </c>
      <c r="C1031">
        <v>91.27</v>
      </c>
      <c r="D1031">
        <v>93.99</v>
      </c>
      <c r="E1031">
        <v>97.24</v>
      </c>
      <c r="F1031">
        <v>87.08</v>
      </c>
      <c r="G1031" s="1" t="s">
        <v>733</v>
      </c>
      <c r="H1031">
        <v>-2.6700000000000002E-2</v>
      </c>
      <c r="I1031" s="3">
        <f t="shared" si="16"/>
        <v>2.4652131039772106E-2</v>
      </c>
    </row>
    <row r="1032" spans="1:9" x14ac:dyDescent="0.35">
      <c r="A1032" s="1" t="s">
        <v>652</v>
      </c>
      <c r="B1032" s="2">
        <v>43191</v>
      </c>
      <c r="C1032">
        <v>93.52</v>
      </c>
      <c r="D1032">
        <v>90.47</v>
      </c>
      <c r="E1032">
        <v>97.9</v>
      </c>
      <c r="F1032">
        <v>87.51</v>
      </c>
      <c r="G1032" s="1" t="s">
        <v>732</v>
      </c>
      <c r="H1032">
        <v>2.47E-2</v>
      </c>
      <c r="I1032" s="3">
        <f t="shared" si="16"/>
        <v>5.688622754491026E-2</v>
      </c>
    </row>
    <row r="1033" spans="1:9" x14ac:dyDescent="0.35">
      <c r="A1033" s="1" t="s">
        <v>652</v>
      </c>
      <c r="B1033" s="2">
        <v>43221</v>
      </c>
      <c r="C1033">
        <v>98.84</v>
      </c>
      <c r="D1033">
        <v>93.21</v>
      </c>
      <c r="E1033">
        <v>99.99</v>
      </c>
      <c r="F1033">
        <v>92.45</v>
      </c>
      <c r="G1033" s="1" t="s">
        <v>731</v>
      </c>
      <c r="H1033">
        <v>5.6899999999999999E-2</v>
      </c>
      <c r="I1033" s="3">
        <f t="shared" si="16"/>
        <v>-2.3269931201942936E-3</v>
      </c>
    </row>
    <row r="1034" spans="1:9" x14ac:dyDescent="0.35">
      <c r="A1034" s="1" t="s">
        <v>652</v>
      </c>
      <c r="B1034" s="2">
        <v>43252</v>
      </c>
      <c r="C1034">
        <v>98.61</v>
      </c>
      <c r="D1034">
        <v>99.28</v>
      </c>
      <c r="E1034">
        <v>102.69</v>
      </c>
      <c r="F1034">
        <v>97.26</v>
      </c>
      <c r="G1034" s="1" t="s">
        <v>730</v>
      </c>
      <c r="H1034">
        <v>-2.3E-3</v>
      </c>
      <c r="I1034" s="3">
        <f t="shared" si="16"/>
        <v>7.5752966230605401E-2</v>
      </c>
    </row>
    <row r="1035" spans="1:9" x14ac:dyDescent="0.35">
      <c r="A1035" s="1" t="s">
        <v>652</v>
      </c>
      <c r="B1035" s="2">
        <v>43282</v>
      </c>
      <c r="C1035">
        <v>106.08</v>
      </c>
      <c r="D1035">
        <v>98.1</v>
      </c>
      <c r="E1035">
        <v>111.15</v>
      </c>
      <c r="F1035">
        <v>98</v>
      </c>
      <c r="G1035" s="1" t="s">
        <v>729</v>
      </c>
      <c r="H1035">
        <v>7.5800000000000006E-2</v>
      </c>
      <c r="I1035" s="3">
        <f t="shared" si="16"/>
        <v>5.8917797888386123E-2</v>
      </c>
    </row>
    <row r="1036" spans="1:9" x14ac:dyDescent="0.35">
      <c r="A1036" s="1" t="s">
        <v>652</v>
      </c>
      <c r="B1036" s="2">
        <v>43313</v>
      </c>
      <c r="C1036">
        <v>112.33</v>
      </c>
      <c r="D1036">
        <v>106.03</v>
      </c>
      <c r="E1036">
        <v>112.78</v>
      </c>
      <c r="F1036">
        <v>104.84</v>
      </c>
      <c r="G1036" s="1" t="s">
        <v>728</v>
      </c>
      <c r="H1036">
        <v>5.8900000000000001E-2</v>
      </c>
      <c r="I1036" s="3">
        <f t="shared" si="16"/>
        <v>1.8160776284162791E-2</v>
      </c>
    </row>
    <row r="1037" spans="1:9" x14ac:dyDescent="0.35">
      <c r="A1037" s="1" t="s">
        <v>652</v>
      </c>
      <c r="B1037" s="2">
        <v>43344</v>
      </c>
      <c r="C1037">
        <v>114.37</v>
      </c>
      <c r="D1037">
        <v>110.85</v>
      </c>
      <c r="E1037">
        <v>115.29</v>
      </c>
      <c r="F1037">
        <v>107.23</v>
      </c>
      <c r="G1037" s="1" t="s">
        <v>727</v>
      </c>
      <c r="H1037">
        <v>1.8200000000000001E-2</v>
      </c>
      <c r="I1037" s="3">
        <f t="shared" si="16"/>
        <v>-6.6101250327883207E-2</v>
      </c>
    </row>
    <row r="1038" spans="1:9" x14ac:dyDescent="0.35">
      <c r="A1038" s="1" t="s">
        <v>652</v>
      </c>
      <c r="B1038" s="2">
        <v>43374</v>
      </c>
      <c r="C1038">
        <v>106.81</v>
      </c>
      <c r="D1038">
        <v>114.75</v>
      </c>
      <c r="E1038">
        <v>116.18</v>
      </c>
      <c r="F1038">
        <v>100.11</v>
      </c>
      <c r="G1038" s="1" t="s">
        <v>726</v>
      </c>
      <c r="H1038">
        <v>-6.6100000000000006E-2</v>
      </c>
      <c r="I1038" s="3">
        <f t="shared" si="16"/>
        <v>3.8198670536466604E-2</v>
      </c>
    </row>
    <row r="1039" spans="1:9" x14ac:dyDescent="0.35">
      <c r="A1039" s="1" t="s">
        <v>652</v>
      </c>
      <c r="B1039" s="2">
        <v>43405</v>
      </c>
      <c r="C1039">
        <v>110.89</v>
      </c>
      <c r="D1039">
        <v>107.05</v>
      </c>
      <c r="E1039">
        <v>112.24</v>
      </c>
      <c r="F1039">
        <v>99.35</v>
      </c>
      <c r="G1039" s="1" t="s">
        <v>725</v>
      </c>
      <c r="H1039">
        <v>3.8199999999999998E-2</v>
      </c>
      <c r="I1039" s="3">
        <f t="shared" si="16"/>
        <v>-8.4047254035530775E-2</v>
      </c>
    </row>
    <row r="1040" spans="1:9" x14ac:dyDescent="0.35">
      <c r="A1040" s="1" t="s">
        <v>652</v>
      </c>
      <c r="B1040" s="2">
        <v>43435</v>
      </c>
      <c r="C1040">
        <v>101.57</v>
      </c>
      <c r="D1040">
        <v>113</v>
      </c>
      <c r="E1040">
        <v>113.42</v>
      </c>
      <c r="F1040">
        <v>93.96</v>
      </c>
      <c r="G1040" s="1" t="s">
        <v>724</v>
      </c>
      <c r="H1040">
        <v>-8.4000000000000005E-2</v>
      </c>
      <c r="I1040" s="3">
        <f t="shared" si="16"/>
        <v>2.8157920645860136E-2</v>
      </c>
    </row>
    <row r="1041" spans="1:9" x14ac:dyDescent="0.35">
      <c r="A1041" s="1" t="s">
        <v>652</v>
      </c>
      <c r="B1041" s="2">
        <v>43466</v>
      </c>
      <c r="C1041">
        <v>104.43</v>
      </c>
      <c r="D1041">
        <v>99.55</v>
      </c>
      <c r="E1041">
        <v>107.9</v>
      </c>
      <c r="F1041">
        <v>97.2</v>
      </c>
      <c r="G1041" s="1" t="s">
        <v>723</v>
      </c>
      <c r="H1041">
        <v>2.8199999999999999E-2</v>
      </c>
      <c r="I1041" s="3">
        <f t="shared" si="16"/>
        <v>7.2776022215838301E-2</v>
      </c>
    </row>
    <row r="1042" spans="1:9" x14ac:dyDescent="0.35">
      <c r="A1042" s="1" t="s">
        <v>652</v>
      </c>
      <c r="B1042" s="2">
        <v>43497</v>
      </c>
      <c r="C1042">
        <v>112.03</v>
      </c>
      <c r="D1042">
        <v>103.78</v>
      </c>
      <c r="E1042">
        <v>113.24</v>
      </c>
      <c r="F1042">
        <v>102.35</v>
      </c>
      <c r="G1042" s="1" t="s">
        <v>722</v>
      </c>
      <c r="H1042">
        <v>7.2800000000000004E-2</v>
      </c>
      <c r="I1042" s="3">
        <f t="shared" si="16"/>
        <v>5.2753726680353448E-2</v>
      </c>
    </row>
    <row r="1043" spans="1:9" x14ac:dyDescent="0.35">
      <c r="A1043" s="1" t="s">
        <v>652</v>
      </c>
      <c r="B1043" s="2">
        <v>43525</v>
      </c>
      <c r="C1043">
        <v>117.94</v>
      </c>
      <c r="D1043">
        <v>112.89</v>
      </c>
      <c r="E1043">
        <v>120.82</v>
      </c>
      <c r="F1043">
        <v>108.8</v>
      </c>
      <c r="G1043" s="1" t="s">
        <v>721</v>
      </c>
      <c r="H1043">
        <v>5.28E-2</v>
      </c>
      <c r="I1043" s="3">
        <f t="shared" si="16"/>
        <v>0.10734271663557739</v>
      </c>
    </row>
    <row r="1044" spans="1:9" x14ac:dyDescent="0.35">
      <c r="A1044" s="1" t="s">
        <v>652</v>
      </c>
      <c r="B1044" s="2">
        <v>43556</v>
      </c>
      <c r="C1044">
        <v>130.6</v>
      </c>
      <c r="D1044">
        <v>118.95</v>
      </c>
      <c r="E1044">
        <v>131.37</v>
      </c>
      <c r="F1044">
        <v>118.1</v>
      </c>
      <c r="G1044" s="1" t="s">
        <v>720</v>
      </c>
      <c r="H1044">
        <v>0.10730000000000001</v>
      </c>
      <c r="I1044" s="3">
        <f t="shared" si="16"/>
        <v>-5.2986217457886585E-2</v>
      </c>
    </row>
    <row r="1045" spans="1:9" x14ac:dyDescent="0.35">
      <c r="A1045" s="1" t="s">
        <v>652</v>
      </c>
      <c r="B1045" s="2">
        <v>43586</v>
      </c>
      <c r="C1045">
        <v>123.68</v>
      </c>
      <c r="D1045">
        <v>130.53</v>
      </c>
      <c r="E1045">
        <v>130.65</v>
      </c>
      <c r="F1045">
        <v>123.04</v>
      </c>
      <c r="G1045" s="1" t="s">
        <v>719</v>
      </c>
      <c r="H1045">
        <v>-5.2999999999999999E-2</v>
      </c>
      <c r="I1045" s="3">
        <f t="shared" si="16"/>
        <v>8.3117723156532999E-2</v>
      </c>
    </row>
    <row r="1046" spans="1:9" x14ac:dyDescent="0.35">
      <c r="A1046" s="1" t="s">
        <v>652</v>
      </c>
      <c r="B1046" s="2">
        <v>43617</v>
      </c>
      <c r="C1046">
        <v>133.96</v>
      </c>
      <c r="D1046">
        <v>123.85</v>
      </c>
      <c r="E1046">
        <v>138.4</v>
      </c>
      <c r="F1046">
        <v>119.01</v>
      </c>
      <c r="G1046" s="1" t="s">
        <v>718</v>
      </c>
      <c r="H1046">
        <v>8.3099999999999993E-2</v>
      </c>
      <c r="I1046" s="3">
        <f t="shared" si="16"/>
        <v>1.7243953418931039E-2</v>
      </c>
    </row>
    <row r="1047" spans="1:9" x14ac:dyDescent="0.35">
      <c r="A1047" s="1" t="s">
        <v>652</v>
      </c>
      <c r="B1047" s="2">
        <v>43647</v>
      </c>
      <c r="C1047">
        <v>136.27000000000001</v>
      </c>
      <c r="D1047">
        <v>136.63</v>
      </c>
      <c r="E1047">
        <v>141.68</v>
      </c>
      <c r="F1047">
        <v>134.66999999999999</v>
      </c>
      <c r="G1047" s="1" t="s">
        <v>717</v>
      </c>
      <c r="H1047">
        <v>1.72E-2</v>
      </c>
      <c r="I1047" s="3">
        <f t="shared" si="16"/>
        <v>1.1668012034930677E-2</v>
      </c>
    </row>
    <row r="1048" spans="1:9" x14ac:dyDescent="0.35">
      <c r="A1048" s="1" t="s">
        <v>652</v>
      </c>
      <c r="B1048" s="2">
        <v>43678</v>
      </c>
      <c r="C1048">
        <v>137.86000000000001</v>
      </c>
      <c r="D1048">
        <v>137</v>
      </c>
      <c r="E1048">
        <v>140.94</v>
      </c>
      <c r="F1048">
        <v>130.78</v>
      </c>
      <c r="G1048" s="1" t="s">
        <v>716</v>
      </c>
      <c r="H1048">
        <v>1.17E-2</v>
      </c>
      <c r="I1048" s="3">
        <f t="shared" si="16"/>
        <v>8.4868707384301995E-3</v>
      </c>
    </row>
    <row r="1049" spans="1:9" x14ac:dyDescent="0.35">
      <c r="A1049" s="1" t="s">
        <v>652</v>
      </c>
      <c r="B1049" s="2">
        <v>43709</v>
      </c>
      <c r="C1049">
        <v>139.03</v>
      </c>
      <c r="D1049">
        <v>136.61000000000001</v>
      </c>
      <c r="E1049">
        <v>142.37</v>
      </c>
      <c r="F1049">
        <v>134.51</v>
      </c>
      <c r="G1049" s="1" t="s">
        <v>715</v>
      </c>
      <c r="H1049">
        <v>8.5000000000000006E-3</v>
      </c>
      <c r="I1049" s="3">
        <f t="shared" si="16"/>
        <v>3.1216284255196746E-2</v>
      </c>
    </row>
    <row r="1050" spans="1:9" x14ac:dyDescent="0.35">
      <c r="A1050" s="1" t="s">
        <v>652</v>
      </c>
      <c r="B1050" s="2">
        <v>43739</v>
      </c>
      <c r="C1050">
        <v>143.37</v>
      </c>
      <c r="D1050">
        <v>139.66</v>
      </c>
      <c r="E1050">
        <v>145.66999999999999</v>
      </c>
      <c r="F1050">
        <v>133.22</v>
      </c>
      <c r="G1050" s="1" t="s">
        <v>714</v>
      </c>
      <c r="H1050">
        <v>3.1199999999999999E-2</v>
      </c>
      <c r="I1050" s="3">
        <f t="shared" si="16"/>
        <v>5.5869428750784621E-2</v>
      </c>
    </row>
    <row r="1051" spans="1:9" x14ac:dyDescent="0.35">
      <c r="A1051" s="1" t="s">
        <v>652</v>
      </c>
      <c r="B1051" s="2">
        <v>43770</v>
      </c>
      <c r="C1051">
        <v>151.38</v>
      </c>
      <c r="D1051">
        <v>144.26</v>
      </c>
      <c r="E1051">
        <v>152.5</v>
      </c>
      <c r="F1051">
        <v>142.97</v>
      </c>
      <c r="G1051" s="1" t="s">
        <v>713</v>
      </c>
      <c r="H1051">
        <v>5.5899999999999998E-2</v>
      </c>
      <c r="I1051" s="3">
        <f t="shared" si="16"/>
        <v>4.1749240322367508E-2</v>
      </c>
    </row>
    <row r="1052" spans="1:9" x14ac:dyDescent="0.35">
      <c r="A1052" s="1" t="s">
        <v>652</v>
      </c>
      <c r="B1052" s="2">
        <v>43800</v>
      </c>
      <c r="C1052">
        <v>157.69999999999999</v>
      </c>
      <c r="D1052">
        <v>151.81</v>
      </c>
      <c r="E1052">
        <v>159.55000000000001</v>
      </c>
      <c r="F1052">
        <v>146.65</v>
      </c>
      <c r="G1052" s="1" t="s">
        <v>712</v>
      </c>
      <c r="H1052">
        <v>4.1700000000000001E-2</v>
      </c>
      <c r="I1052" s="3">
        <f t="shared" si="16"/>
        <v>7.945466074825619E-2</v>
      </c>
    </row>
    <row r="1053" spans="1:9" x14ac:dyDescent="0.35">
      <c r="A1053" s="1" t="s">
        <v>652</v>
      </c>
      <c r="B1053" s="2">
        <v>43831</v>
      </c>
      <c r="C1053">
        <v>170.23</v>
      </c>
      <c r="D1053">
        <v>158.78</v>
      </c>
      <c r="E1053">
        <v>174.05</v>
      </c>
      <c r="F1053">
        <v>156.51</v>
      </c>
      <c r="G1053" s="1" t="s">
        <v>711</v>
      </c>
      <c r="H1053">
        <v>7.9500000000000001E-2</v>
      </c>
      <c r="I1053" s="3">
        <f t="shared" si="16"/>
        <v>-4.8287610879398458E-2</v>
      </c>
    </row>
    <row r="1054" spans="1:9" x14ac:dyDescent="0.35">
      <c r="A1054" s="1" t="s">
        <v>652</v>
      </c>
      <c r="B1054" s="2">
        <v>43862</v>
      </c>
      <c r="C1054">
        <v>162.01</v>
      </c>
      <c r="D1054">
        <v>170.43</v>
      </c>
      <c r="E1054">
        <v>190.7</v>
      </c>
      <c r="F1054">
        <v>152</v>
      </c>
      <c r="G1054" s="1" t="s">
        <v>710</v>
      </c>
      <c r="H1054">
        <v>-4.8300000000000003E-2</v>
      </c>
      <c r="I1054" s="3">
        <f t="shared" si="16"/>
        <v>-2.6541571507931506E-2</v>
      </c>
    </row>
    <row r="1055" spans="1:9" x14ac:dyDescent="0.35">
      <c r="A1055" s="1" t="s">
        <v>652</v>
      </c>
      <c r="B1055" s="2">
        <v>43891</v>
      </c>
      <c r="C1055">
        <v>157.71</v>
      </c>
      <c r="D1055">
        <v>165.31</v>
      </c>
      <c r="E1055">
        <v>175</v>
      </c>
      <c r="F1055">
        <v>132.52000000000001</v>
      </c>
      <c r="G1055" s="1" t="s">
        <v>380</v>
      </c>
      <c r="H1055">
        <v>-2.6499999999999999E-2</v>
      </c>
      <c r="I1055" s="3">
        <f t="shared" si="16"/>
        <v>0.13632616828355842</v>
      </c>
    </row>
    <row r="1056" spans="1:9" x14ac:dyDescent="0.35">
      <c r="A1056" s="1" t="s">
        <v>652</v>
      </c>
      <c r="B1056" s="2">
        <v>43922</v>
      </c>
      <c r="C1056">
        <v>179.21</v>
      </c>
      <c r="D1056">
        <v>153</v>
      </c>
      <c r="E1056">
        <v>180.4</v>
      </c>
      <c r="F1056">
        <v>150.36000000000001</v>
      </c>
      <c r="G1056" s="1" t="s">
        <v>709</v>
      </c>
      <c r="H1056">
        <v>0.1363</v>
      </c>
      <c r="I1056" s="3">
        <f t="shared" si="16"/>
        <v>2.2543384855755771E-2</v>
      </c>
    </row>
    <row r="1057" spans="1:9" x14ac:dyDescent="0.35">
      <c r="A1057" s="1" t="s">
        <v>652</v>
      </c>
      <c r="B1057" s="2">
        <v>43952</v>
      </c>
      <c r="C1057">
        <v>183.25</v>
      </c>
      <c r="D1057">
        <v>175.8</v>
      </c>
      <c r="E1057">
        <v>187.51</v>
      </c>
      <c r="F1057">
        <v>173.8</v>
      </c>
      <c r="G1057" s="1" t="s">
        <v>708</v>
      </c>
      <c r="H1057">
        <v>2.2499999999999999E-2</v>
      </c>
      <c r="I1057" s="3">
        <f t="shared" si="16"/>
        <v>0.11055934515688945</v>
      </c>
    </row>
    <row r="1058" spans="1:9" x14ac:dyDescent="0.35">
      <c r="A1058" s="1" t="s">
        <v>652</v>
      </c>
      <c r="B1058" s="2">
        <v>43983</v>
      </c>
      <c r="C1058">
        <v>203.51</v>
      </c>
      <c r="D1058">
        <v>182.54</v>
      </c>
      <c r="E1058">
        <v>204.4</v>
      </c>
      <c r="F1058">
        <v>181.35</v>
      </c>
      <c r="G1058" s="1" t="s">
        <v>707</v>
      </c>
      <c r="H1058">
        <v>0.1106</v>
      </c>
      <c r="I1058" s="3">
        <f t="shared" si="16"/>
        <v>7.3706451771411727E-3</v>
      </c>
    </row>
    <row r="1059" spans="1:9" x14ac:dyDescent="0.35">
      <c r="A1059" s="1" t="s">
        <v>652</v>
      </c>
      <c r="B1059" s="2">
        <v>44013</v>
      </c>
      <c r="C1059">
        <v>205.01</v>
      </c>
      <c r="D1059">
        <v>203.14</v>
      </c>
      <c r="E1059">
        <v>216.38</v>
      </c>
      <c r="F1059">
        <v>197.51</v>
      </c>
      <c r="G1059" s="1" t="s">
        <v>706</v>
      </c>
      <c r="H1059">
        <v>7.4000000000000003E-3</v>
      </c>
      <c r="I1059" s="3">
        <f t="shared" si="16"/>
        <v>0.10009267840593147</v>
      </c>
    </row>
    <row r="1060" spans="1:9" x14ac:dyDescent="0.35">
      <c r="A1060" s="1" t="s">
        <v>652</v>
      </c>
      <c r="B1060" s="2">
        <v>44044</v>
      </c>
      <c r="C1060">
        <v>225.53</v>
      </c>
      <c r="D1060">
        <v>211.52</v>
      </c>
      <c r="E1060">
        <v>231.15</v>
      </c>
      <c r="F1060">
        <v>203.14</v>
      </c>
      <c r="G1060" s="1" t="s">
        <v>705</v>
      </c>
      <c r="H1060">
        <v>0.10009999999999999</v>
      </c>
      <c r="I1060" s="3">
        <f t="shared" si="16"/>
        <v>-6.739679865206398E-2</v>
      </c>
    </row>
    <row r="1061" spans="1:9" x14ac:dyDescent="0.35">
      <c r="A1061" s="1" t="s">
        <v>652</v>
      </c>
      <c r="B1061" s="2">
        <v>44075</v>
      </c>
      <c r="C1061">
        <v>210.33</v>
      </c>
      <c r="D1061">
        <v>225.51</v>
      </c>
      <c r="E1061">
        <v>232.86</v>
      </c>
      <c r="F1061">
        <v>196.25</v>
      </c>
      <c r="G1061" s="1" t="s">
        <v>704</v>
      </c>
      <c r="H1061">
        <v>-6.7400000000000002E-2</v>
      </c>
      <c r="I1061" s="3">
        <f t="shared" si="16"/>
        <v>-3.7369847382684417E-2</v>
      </c>
    </row>
    <row r="1062" spans="1:9" x14ac:dyDescent="0.35">
      <c r="A1062" s="1" t="s">
        <v>652</v>
      </c>
      <c r="B1062" s="2">
        <v>44105</v>
      </c>
      <c r="C1062">
        <v>202.47</v>
      </c>
      <c r="D1062">
        <v>213.49</v>
      </c>
      <c r="E1062">
        <v>225.21</v>
      </c>
      <c r="F1062">
        <v>199.62</v>
      </c>
      <c r="G1062" s="1" t="s">
        <v>703</v>
      </c>
      <c r="H1062">
        <v>-3.7400000000000003E-2</v>
      </c>
      <c r="I1062" s="3">
        <f t="shared" si="16"/>
        <v>5.7292438385933689E-2</v>
      </c>
    </row>
    <row r="1063" spans="1:9" x14ac:dyDescent="0.35">
      <c r="A1063" s="1" t="s">
        <v>652</v>
      </c>
      <c r="B1063" s="2">
        <v>44136</v>
      </c>
      <c r="C1063">
        <v>214.07</v>
      </c>
      <c r="D1063">
        <v>204.29</v>
      </c>
      <c r="E1063">
        <v>228.12</v>
      </c>
      <c r="F1063">
        <v>200.12</v>
      </c>
      <c r="G1063" s="1" t="s">
        <v>702</v>
      </c>
      <c r="H1063">
        <v>5.7299999999999997E-2</v>
      </c>
      <c r="I1063" s="3">
        <f t="shared" si="16"/>
        <v>3.9005932638856426E-2</v>
      </c>
    </row>
    <row r="1064" spans="1:9" x14ac:dyDescent="0.35">
      <c r="A1064" s="1" t="s">
        <v>652</v>
      </c>
      <c r="B1064" s="2">
        <v>44166</v>
      </c>
      <c r="C1064">
        <v>222.42</v>
      </c>
      <c r="D1064">
        <v>214.51</v>
      </c>
      <c r="E1064">
        <v>227.18</v>
      </c>
      <c r="F1064">
        <v>209.11</v>
      </c>
      <c r="G1064" s="1" t="s">
        <v>701</v>
      </c>
      <c r="H1064">
        <v>3.9E-2</v>
      </c>
      <c r="I1064" s="3">
        <f t="shared" si="16"/>
        <v>4.2891826274615685E-2</v>
      </c>
    </row>
    <row r="1065" spans="1:9" x14ac:dyDescent="0.35">
      <c r="A1065" s="1" t="s">
        <v>652</v>
      </c>
      <c r="B1065" s="2">
        <v>44197</v>
      </c>
      <c r="C1065">
        <v>231.96</v>
      </c>
      <c r="D1065">
        <v>222.53</v>
      </c>
      <c r="E1065">
        <v>242.64</v>
      </c>
      <c r="F1065">
        <v>211.94</v>
      </c>
      <c r="G1065" s="1" t="s">
        <v>700</v>
      </c>
      <c r="H1065">
        <v>4.2900000000000001E-2</v>
      </c>
      <c r="I1065" s="3">
        <f t="shared" si="16"/>
        <v>1.8106570098292269E-3</v>
      </c>
    </row>
    <row r="1066" spans="1:9" x14ac:dyDescent="0.35">
      <c r="A1066" s="1" t="s">
        <v>652</v>
      </c>
      <c r="B1066" s="2">
        <v>44228</v>
      </c>
      <c r="C1066">
        <v>232.38</v>
      </c>
      <c r="D1066">
        <v>235.06</v>
      </c>
      <c r="E1066">
        <v>246.13</v>
      </c>
      <c r="F1066">
        <v>227.88</v>
      </c>
      <c r="G1066" s="1" t="s">
        <v>699</v>
      </c>
      <c r="H1066">
        <v>1.8E-3</v>
      </c>
      <c r="I1066" s="3">
        <f t="shared" si="16"/>
        <v>1.4588174541699006E-2</v>
      </c>
    </row>
    <row r="1067" spans="1:9" x14ac:dyDescent="0.35">
      <c r="A1067" s="1" t="s">
        <v>652</v>
      </c>
      <c r="B1067" s="2">
        <v>44256</v>
      </c>
      <c r="C1067">
        <v>235.77</v>
      </c>
      <c r="D1067">
        <v>235.9</v>
      </c>
      <c r="E1067">
        <v>241.05</v>
      </c>
      <c r="F1067">
        <v>224.26</v>
      </c>
      <c r="G1067" s="1" t="s">
        <v>698</v>
      </c>
      <c r="H1067">
        <v>1.46E-2</v>
      </c>
      <c r="I1067" s="3">
        <f t="shared" si="16"/>
        <v>6.9601730500063602E-2</v>
      </c>
    </row>
    <row r="1068" spans="1:9" x14ac:dyDescent="0.35">
      <c r="A1068" s="1" t="s">
        <v>652</v>
      </c>
      <c r="B1068" s="2">
        <v>44287</v>
      </c>
      <c r="C1068">
        <v>252.18</v>
      </c>
      <c r="D1068">
        <v>238.47</v>
      </c>
      <c r="E1068">
        <v>263.19</v>
      </c>
      <c r="F1068">
        <v>238.05</v>
      </c>
      <c r="G1068" s="1" t="s">
        <v>697</v>
      </c>
      <c r="H1068">
        <v>6.9599999999999995E-2</v>
      </c>
      <c r="I1068" s="3">
        <f t="shared" si="16"/>
        <v>-9.913553810770085E-3</v>
      </c>
    </row>
    <row r="1069" spans="1:9" x14ac:dyDescent="0.35">
      <c r="A1069" s="1" t="s">
        <v>652</v>
      </c>
      <c r="B1069" s="2">
        <v>44317</v>
      </c>
      <c r="C1069">
        <v>249.68</v>
      </c>
      <c r="D1069">
        <v>253.4</v>
      </c>
      <c r="E1069">
        <v>254.35</v>
      </c>
      <c r="F1069">
        <v>238.07</v>
      </c>
      <c r="G1069" s="1" t="s">
        <v>696</v>
      </c>
      <c r="H1069">
        <v>-9.9000000000000008E-3</v>
      </c>
      <c r="I1069" s="3">
        <f t="shared" si="16"/>
        <v>8.4988785645626286E-2</v>
      </c>
    </row>
    <row r="1070" spans="1:9" x14ac:dyDescent="0.35">
      <c r="A1070" s="1" t="s">
        <v>652</v>
      </c>
      <c r="B1070" s="2">
        <v>44348</v>
      </c>
      <c r="C1070">
        <v>270.89999999999998</v>
      </c>
      <c r="D1070">
        <v>251.23</v>
      </c>
      <c r="E1070">
        <v>271.64999999999998</v>
      </c>
      <c r="F1070">
        <v>243</v>
      </c>
      <c r="G1070" s="1" t="s">
        <v>695</v>
      </c>
      <c r="H1070">
        <v>8.5000000000000006E-2</v>
      </c>
      <c r="I1070" s="3">
        <f t="shared" si="16"/>
        <v>5.1716500553710035E-2</v>
      </c>
    </row>
    <row r="1071" spans="1:9" x14ac:dyDescent="0.35">
      <c r="A1071" s="1" t="s">
        <v>652</v>
      </c>
      <c r="B1071" s="2">
        <v>44378</v>
      </c>
      <c r="C1071">
        <v>284.91000000000003</v>
      </c>
      <c r="D1071">
        <v>269.61</v>
      </c>
      <c r="E1071">
        <v>290.14999999999998</v>
      </c>
      <c r="F1071">
        <v>269.60000000000002</v>
      </c>
      <c r="G1071" s="1" t="s">
        <v>694</v>
      </c>
      <c r="H1071">
        <v>5.1700000000000003E-2</v>
      </c>
      <c r="I1071" s="3">
        <f t="shared" si="16"/>
        <v>5.9562668912989961E-2</v>
      </c>
    </row>
    <row r="1072" spans="1:9" x14ac:dyDescent="0.35">
      <c r="A1072" s="1" t="s">
        <v>652</v>
      </c>
      <c r="B1072" s="2">
        <v>44409</v>
      </c>
      <c r="C1072">
        <v>301.88</v>
      </c>
      <c r="D1072">
        <v>286.36</v>
      </c>
      <c r="E1072">
        <v>305.83999999999997</v>
      </c>
      <c r="F1072">
        <v>283.74</v>
      </c>
      <c r="G1072" s="1" t="s">
        <v>693</v>
      </c>
      <c r="H1072">
        <v>5.96E-2</v>
      </c>
      <c r="I1072" s="3">
        <f t="shared" si="16"/>
        <v>-6.6118987677222671E-2</v>
      </c>
    </row>
    <row r="1073" spans="1:9" x14ac:dyDescent="0.35">
      <c r="A1073" s="1" t="s">
        <v>652</v>
      </c>
      <c r="B1073" s="2">
        <v>44440</v>
      </c>
      <c r="C1073">
        <v>281.92</v>
      </c>
      <c r="D1073">
        <v>302.87</v>
      </c>
      <c r="E1073">
        <v>305.32</v>
      </c>
      <c r="F1073">
        <v>281.62</v>
      </c>
      <c r="G1073" s="1" t="s">
        <v>692</v>
      </c>
      <c r="H1073">
        <v>-6.6100000000000006E-2</v>
      </c>
      <c r="I1073" s="3">
        <f t="shared" si="16"/>
        <v>0.17629114642451754</v>
      </c>
    </row>
    <row r="1074" spans="1:9" x14ac:dyDescent="0.35">
      <c r="A1074" s="1" t="s">
        <v>652</v>
      </c>
      <c r="B1074" s="2">
        <v>44470</v>
      </c>
      <c r="C1074">
        <v>331.62</v>
      </c>
      <c r="D1074">
        <v>282.12</v>
      </c>
      <c r="E1074">
        <v>332</v>
      </c>
      <c r="F1074">
        <v>280.25</v>
      </c>
      <c r="G1074" s="1" t="s">
        <v>691</v>
      </c>
      <c r="H1074">
        <v>0.17630000000000001</v>
      </c>
      <c r="I1074" s="3">
        <f t="shared" si="16"/>
        <v>-3.1059646583439767E-3</v>
      </c>
    </row>
    <row r="1075" spans="1:9" x14ac:dyDescent="0.35">
      <c r="A1075" s="1" t="s">
        <v>652</v>
      </c>
      <c r="B1075" s="2">
        <v>44501</v>
      </c>
      <c r="C1075">
        <v>330.59</v>
      </c>
      <c r="D1075">
        <v>331.36</v>
      </c>
      <c r="E1075">
        <v>349.67</v>
      </c>
      <c r="F1075">
        <v>326.37</v>
      </c>
      <c r="G1075" s="1" t="s">
        <v>690</v>
      </c>
      <c r="H1075">
        <v>-3.0999999999999999E-3</v>
      </c>
      <c r="I1075" s="3">
        <f t="shared" si="16"/>
        <v>1.7332647690492812E-2</v>
      </c>
    </row>
    <row r="1076" spans="1:9" x14ac:dyDescent="0.35">
      <c r="A1076" s="1" t="s">
        <v>652</v>
      </c>
      <c r="B1076" s="2">
        <v>44531</v>
      </c>
      <c r="C1076">
        <v>336.32</v>
      </c>
      <c r="D1076">
        <v>335.13</v>
      </c>
      <c r="E1076">
        <v>344.3</v>
      </c>
      <c r="F1076">
        <v>317.25</v>
      </c>
      <c r="G1076" s="1" t="s">
        <v>689</v>
      </c>
      <c r="H1076">
        <v>1.7299999999999999E-2</v>
      </c>
      <c r="I1076" s="3">
        <f t="shared" si="16"/>
        <v>-7.5344909609895261E-2</v>
      </c>
    </row>
    <row r="1077" spans="1:9" x14ac:dyDescent="0.35">
      <c r="A1077" s="1" t="s">
        <v>652</v>
      </c>
      <c r="B1077" s="2">
        <v>44562</v>
      </c>
      <c r="C1077">
        <v>310.98</v>
      </c>
      <c r="D1077">
        <v>335.35</v>
      </c>
      <c r="E1077">
        <v>338</v>
      </c>
      <c r="F1077">
        <v>276.05</v>
      </c>
      <c r="G1077" s="1" t="s">
        <v>688</v>
      </c>
      <c r="H1077">
        <v>-7.5300000000000006E-2</v>
      </c>
      <c r="I1077" s="3">
        <f t="shared" si="16"/>
        <v>-3.9198662293395067E-2</v>
      </c>
    </row>
    <row r="1078" spans="1:9" x14ac:dyDescent="0.35">
      <c r="A1078" s="1" t="s">
        <v>652</v>
      </c>
      <c r="B1078" s="2">
        <v>44593</v>
      </c>
      <c r="C1078">
        <v>298.79000000000002</v>
      </c>
      <c r="D1078">
        <v>310.41000000000003</v>
      </c>
      <c r="E1078">
        <v>315.12</v>
      </c>
      <c r="F1078">
        <v>271.52</v>
      </c>
      <c r="G1078" s="1" t="s">
        <v>687</v>
      </c>
      <c r="H1078">
        <v>-3.9199999999999999E-2</v>
      </c>
      <c r="I1078" s="3">
        <f t="shared" si="16"/>
        <v>3.1861842765822088E-2</v>
      </c>
    </row>
    <row r="1079" spans="1:9" x14ac:dyDescent="0.35">
      <c r="A1079" s="1" t="s">
        <v>652</v>
      </c>
      <c r="B1079" s="2">
        <v>44621</v>
      </c>
      <c r="C1079">
        <v>308.31</v>
      </c>
      <c r="D1079">
        <v>296.39999999999998</v>
      </c>
      <c r="E1079">
        <v>315.95</v>
      </c>
      <c r="F1079">
        <v>270</v>
      </c>
      <c r="G1079" s="1" t="s">
        <v>686</v>
      </c>
      <c r="H1079">
        <v>3.1899999999999998E-2</v>
      </c>
      <c r="I1079" s="3">
        <f t="shared" si="16"/>
        <v>-9.9867016963445951E-2</v>
      </c>
    </row>
    <row r="1080" spans="1:9" x14ac:dyDescent="0.35">
      <c r="A1080" s="1" t="s">
        <v>652</v>
      </c>
      <c r="B1080" s="2">
        <v>44652</v>
      </c>
      <c r="C1080">
        <v>277.52</v>
      </c>
      <c r="D1080">
        <v>309.37</v>
      </c>
      <c r="E1080">
        <v>315.11</v>
      </c>
      <c r="F1080">
        <v>270</v>
      </c>
      <c r="G1080" s="1" t="s">
        <v>685</v>
      </c>
      <c r="H1080">
        <v>-9.9900000000000003E-2</v>
      </c>
      <c r="I1080" s="3">
        <f t="shared" si="16"/>
        <v>-2.0358893052752874E-2</v>
      </c>
    </row>
    <row r="1081" spans="1:9" x14ac:dyDescent="0.35">
      <c r="A1081" s="1" t="s">
        <v>652</v>
      </c>
      <c r="B1081" s="2">
        <v>44682</v>
      </c>
      <c r="C1081">
        <v>271.87</v>
      </c>
      <c r="D1081">
        <v>277.70999999999998</v>
      </c>
      <c r="E1081">
        <v>290.88</v>
      </c>
      <c r="F1081">
        <v>246.44</v>
      </c>
      <c r="G1081" s="1" t="s">
        <v>684</v>
      </c>
      <c r="H1081">
        <v>-2.0400000000000001E-2</v>
      </c>
      <c r="I1081" s="3">
        <f t="shared" si="16"/>
        <v>-5.5320557619450546E-2</v>
      </c>
    </row>
    <row r="1082" spans="1:9" x14ac:dyDescent="0.35">
      <c r="A1082" s="1" t="s">
        <v>652</v>
      </c>
      <c r="B1082" s="2">
        <v>44713</v>
      </c>
      <c r="C1082">
        <v>256.83</v>
      </c>
      <c r="D1082">
        <v>275.19</v>
      </c>
      <c r="E1082">
        <v>277.69</v>
      </c>
      <c r="F1082">
        <v>241.51</v>
      </c>
      <c r="G1082" s="1" t="s">
        <v>683</v>
      </c>
      <c r="H1082">
        <v>-5.5300000000000002E-2</v>
      </c>
      <c r="I1082" s="3">
        <f t="shared" si="16"/>
        <v>9.3096600864385107E-2</v>
      </c>
    </row>
    <row r="1083" spans="1:9" x14ac:dyDescent="0.35">
      <c r="A1083" s="1" t="s">
        <v>652</v>
      </c>
      <c r="B1083" s="2">
        <v>44743</v>
      </c>
      <c r="C1083">
        <v>280.74</v>
      </c>
      <c r="D1083">
        <v>256.39</v>
      </c>
      <c r="E1083">
        <v>282</v>
      </c>
      <c r="F1083">
        <v>245.94</v>
      </c>
      <c r="G1083" s="1" t="s">
        <v>682</v>
      </c>
      <c r="H1083">
        <v>9.3100000000000002E-2</v>
      </c>
      <c r="I1083" s="3">
        <f t="shared" si="16"/>
        <v>-6.8640022796893851E-2</v>
      </c>
    </row>
    <row r="1084" spans="1:9" x14ac:dyDescent="0.35">
      <c r="A1084" s="1" t="s">
        <v>652</v>
      </c>
      <c r="B1084" s="2">
        <v>44774</v>
      </c>
      <c r="C1084">
        <v>261.47000000000003</v>
      </c>
      <c r="D1084">
        <v>277.82</v>
      </c>
      <c r="E1084">
        <v>294.18</v>
      </c>
      <c r="F1084">
        <v>260.66000000000003</v>
      </c>
      <c r="G1084" s="1" t="s">
        <v>681</v>
      </c>
      <c r="H1084">
        <v>-6.8599999999999994E-2</v>
      </c>
      <c r="I1084" s="3">
        <f t="shared" si="16"/>
        <v>-0.10926683749569747</v>
      </c>
    </row>
    <row r="1085" spans="1:9" x14ac:dyDescent="0.35">
      <c r="A1085" s="1" t="s">
        <v>652</v>
      </c>
      <c r="B1085" s="2">
        <v>44805</v>
      </c>
      <c r="C1085">
        <v>232.9</v>
      </c>
      <c r="D1085">
        <v>258.87</v>
      </c>
      <c r="E1085">
        <v>267.45</v>
      </c>
      <c r="F1085">
        <v>232.73</v>
      </c>
      <c r="G1085" s="1" t="s">
        <v>680</v>
      </c>
      <c r="H1085">
        <v>-0.10929999999999999</v>
      </c>
      <c r="I1085" s="3">
        <f t="shared" si="16"/>
        <v>-3.3061399742379143E-3</v>
      </c>
    </row>
    <row r="1086" spans="1:9" x14ac:dyDescent="0.35">
      <c r="A1086" s="1" t="s">
        <v>652</v>
      </c>
      <c r="B1086" s="2">
        <v>44835</v>
      </c>
      <c r="C1086">
        <v>232.13</v>
      </c>
      <c r="D1086">
        <v>235.41</v>
      </c>
      <c r="E1086">
        <v>251.04</v>
      </c>
      <c r="F1086">
        <v>219.13</v>
      </c>
      <c r="G1086" s="1" t="s">
        <v>679</v>
      </c>
      <c r="H1086">
        <v>-3.3E-3</v>
      </c>
      <c r="I1086" s="3">
        <f t="shared" si="16"/>
        <v>9.9125490027139926E-2</v>
      </c>
    </row>
    <row r="1087" spans="1:9" x14ac:dyDescent="0.35">
      <c r="A1087" s="1" t="s">
        <v>652</v>
      </c>
      <c r="B1087" s="2">
        <v>44866</v>
      </c>
      <c r="C1087">
        <v>255.14</v>
      </c>
      <c r="D1087">
        <v>234.6</v>
      </c>
      <c r="E1087">
        <v>255.33</v>
      </c>
      <c r="F1087">
        <v>213.43</v>
      </c>
      <c r="G1087" s="1" t="s">
        <v>678</v>
      </c>
      <c r="H1087">
        <v>9.9099999999999994E-2</v>
      </c>
      <c r="I1087" s="3">
        <f t="shared" si="16"/>
        <v>-6.0045465234773041E-2</v>
      </c>
    </row>
    <row r="1088" spans="1:9" x14ac:dyDescent="0.35">
      <c r="A1088" s="1" t="s">
        <v>652</v>
      </c>
      <c r="B1088" s="2">
        <v>44896</v>
      </c>
      <c r="C1088">
        <v>239.82</v>
      </c>
      <c r="D1088">
        <v>253.87</v>
      </c>
      <c r="E1088">
        <v>263.92</v>
      </c>
      <c r="F1088">
        <v>233.87</v>
      </c>
      <c r="G1088" s="1" t="s">
        <v>677</v>
      </c>
      <c r="H1088">
        <v>-0.06</v>
      </c>
      <c r="I1088" s="3">
        <f t="shared" si="16"/>
        <v>3.3316654157284666E-2</v>
      </c>
    </row>
    <row r="1089" spans="1:9" x14ac:dyDescent="0.35">
      <c r="A1089" s="1" t="s">
        <v>652</v>
      </c>
      <c r="B1089" s="2">
        <v>44927</v>
      </c>
      <c r="C1089">
        <v>247.81</v>
      </c>
      <c r="D1089">
        <v>243.08</v>
      </c>
      <c r="E1089">
        <v>249.83</v>
      </c>
      <c r="F1089">
        <v>219.35</v>
      </c>
      <c r="G1089" s="1" t="s">
        <v>676</v>
      </c>
      <c r="H1089">
        <v>3.3300000000000003E-2</v>
      </c>
      <c r="I1089" s="3">
        <f t="shared" si="16"/>
        <v>6.4969129575077082E-3</v>
      </c>
    </row>
    <row r="1090" spans="1:9" x14ac:dyDescent="0.35">
      <c r="A1090" s="1" t="s">
        <v>652</v>
      </c>
      <c r="B1090" s="2">
        <v>44958</v>
      </c>
      <c r="C1090">
        <v>249.42</v>
      </c>
      <c r="D1090">
        <v>248</v>
      </c>
      <c r="E1090">
        <v>276.76</v>
      </c>
      <c r="F1090">
        <v>245.47</v>
      </c>
      <c r="G1090" s="1" t="s">
        <v>675</v>
      </c>
      <c r="H1090">
        <v>6.4999999999999997E-3</v>
      </c>
      <c r="I1090" s="3">
        <f t="shared" ref="I1090:I1153" si="17">IF(A1091=A1090, (C1091-C1090)/C1090, 0)</f>
        <v>0.1558816454173684</v>
      </c>
    </row>
    <row r="1091" spans="1:9" x14ac:dyDescent="0.35">
      <c r="A1091" s="1" t="s">
        <v>652</v>
      </c>
      <c r="B1091" s="2">
        <v>44986</v>
      </c>
      <c r="C1091">
        <v>288.3</v>
      </c>
      <c r="D1091">
        <v>250.76</v>
      </c>
      <c r="E1091">
        <v>289.27</v>
      </c>
      <c r="F1091">
        <v>245.61</v>
      </c>
      <c r="G1091" s="1" t="s">
        <v>674</v>
      </c>
      <c r="H1091">
        <v>0.15590000000000001</v>
      </c>
      <c r="I1091" s="3">
        <f t="shared" si="17"/>
        <v>6.5764828303850081E-2</v>
      </c>
    </row>
    <row r="1092" spans="1:9" x14ac:dyDescent="0.35">
      <c r="A1092" s="1" t="s">
        <v>652</v>
      </c>
      <c r="B1092" s="2">
        <v>45017</v>
      </c>
      <c r="C1092">
        <v>307.26</v>
      </c>
      <c r="D1092">
        <v>286.52</v>
      </c>
      <c r="E1092">
        <v>308.93</v>
      </c>
      <c r="F1092">
        <v>275.37</v>
      </c>
      <c r="G1092" s="1" t="s">
        <v>673</v>
      </c>
      <c r="H1092">
        <v>6.5799999999999997E-2</v>
      </c>
      <c r="I1092" s="3">
        <f t="shared" si="17"/>
        <v>6.8769120614463303E-2</v>
      </c>
    </row>
    <row r="1093" spans="1:9" x14ac:dyDescent="0.35">
      <c r="A1093" s="1" t="s">
        <v>652</v>
      </c>
      <c r="B1093" s="2">
        <v>45047</v>
      </c>
      <c r="C1093">
        <v>328.39</v>
      </c>
      <c r="D1093">
        <v>306.97000000000003</v>
      </c>
      <c r="E1093">
        <v>335.94</v>
      </c>
      <c r="F1093">
        <v>303.39999999999998</v>
      </c>
      <c r="G1093" s="1" t="s">
        <v>672</v>
      </c>
      <c r="H1093">
        <v>6.88E-2</v>
      </c>
      <c r="I1093" s="3">
        <f t="shared" si="17"/>
        <v>3.6998690581321096E-2</v>
      </c>
    </row>
    <row r="1094" spans="1:9" x14ac:dyDescent="0.35">
      <c r="A1094" s="1" t="s">
        <v>652</v>
      </c>
      <c r="B1094" s="2">
        <v>45078</v>
      </c>
      <c r="C1094">
        <v>340.54</v>
      </c>
      <c r="D1094">
        <v>325.93</v>
      </c>
      <c r="E1094">
        <v>351.47</v>
      </c>
      <c r="F1094">
        <v>322.5</v>
      </c>
      <c r="G1094" s="1" t="s">
        <v>671</v>
      </c>
      <c r="H1094">
        <v>3.6999999999999998E-2</v>
      </c>
      <c r="I1094" s="3">
        <f t="shared" si="17"/>
        <v>-1.3566688201092395E-2</v>
      </c>
    </row>
    <row r="1095" spans="1:9" x14ac:dyDescent="0.35">
      <c r="A1095" s="1" t="s">
        <v>652</v>
      </c>
      <c r="B1095" s="2">
        <v>45108</v>
      </c>
      <c r="C1095">
        <v>335.92</v>
      </c>
      <c r="D1095">
        <v>339.19</v>
      </c>
      <c r="E1095">
        <v>366.78</v>
      </c>
      <c r="F1095">
        <v>327</v>
      </c>
      <c r="G1095" s="1" t="s">
        <v>670</v>
      </c>
      <c r="H1095">
        <v>-1.3599999999999999E-2</v>
      </c>
      <c r="I1095" s="3">
        <f t="shared" si="17"/>
        <v>-2.4291497975708575E-2</v>
      </c>
    </row>
    <row r="1096" spans="1:9" x14ac:dyDescent="0.35">
      <c r="A1096" s="1" t="s">
        <v>652</v>
      </c>
      <c r="B1096" s="2">
        <v>45139</v>
      </c>
      <c r="C1096">
        <v>327.76</v>
      </c>
      <c r="D1096">
        <v>335.19</v>
      </c>
      <c r="E1096">
        <v>338.54</v>
      </c>
      <c r="F1096">
        <v>311.55</v>
      </c>
      <c r="G1096" s="1" t="s">
        <v>669</v>
      </c>
      <c r="H1096">
        <v>-2.4299999999999999E-2</v>
      </c>
      <c r="I1096" s="3">
        <f t="shared" si="17"/>
        <v>-3.6642665364901121E-2</v>
      </c>
    </row>
    <row r="1097" spans="1:9" x14ac:dyDescent="0.35">
      <c r="A1097" s="1" t="s">
        <v>652</v>
      </c>
      <c r="B1097" s="2">
        <v>45170</v>
      </c>
      <c r="C1097">
        <v>315.75</v>
      </c>
      <c r="D1097">
        <v>331.31</v>
      </c>
      <c r="E1097">
        <v>340.86</v>
      </c>
      <c r="F1097">
        <v>309.45</v>
      </c>
      <c r="G1097" s="1" t="s">
        <v>668</v>
      </c>
      <c r="H1097">
        <v>-3.6600000000000001E-2</v>
      </c>
      <c r="I1097" s="3">
        <f t="shared" si="17"/>
        <v>7.0815518606492517E-2</v>
      </c>
    </row>
    <row r="1098" spans="1:9" x14ac:dyDescent="0.35">
      <c r="A1098" s="1" t="s">
        <v>652</v>
      </c>
      <c r="B1098" s="2">
        <v>45200</v>
      </c>
      <c r="C1098">
        <v>338.11</v>
      </c>
      <c r="D1098">
        <v>316.27999999999997</v>
      </c>
      <c r="E1098">
        <v>346.2</v>
      </c>
      <c r="F1098">
        <v>311.20999999999998</v>
      </c>
      <c r="G1098" s="1" t="s">
        <v>667</v>
      </c>
      <c r="H1098">
        <v>7.0800000000000002E-2</v>
      </c>
      <c r="I1098" s="3">
        <f t="shared" si="17"/>
        <v>0.1206707876134986</v>
      </c>
    </row>
    <row r="1099" spans="1:9" x14ac:dyDescent="0.35">
      <c r="A1099" s="1" t="s">
        <v>652</v>
      </c>
      <c r="B1099" s="2">
        <v>45231</v>
      </c>
      <c r="C1099">
        <v>378.91</v>
      </c>
      <c r="D1099">
        <v>339.79</v>
      </c>
      <c r="E1099">
        <v>384.3</v>
      </c>
      <c r="F1099">
        <v>339.65</v>
      </c>
      <c r="G1099" s="1" t="s">
        <v>666</v>
      </c>
      <c r="H1099">
        <v>0.1207</v>
      </c>
      <c r="I1099" s="3">
        <f t="shared" si="17"/>
        <v>-7.5743580269721153E-3</v>
      </c>
    </row>
    <row r="1100" spans="1:9" x14ac:dyDescent="0.35">
      <c r="A1100" s="1" t="s">
        <v>652</v>
      </c>
      <c r="B1100" s="2">
        <v>45261</v>
      </c>
      <c r="C1100">
        <v>376.04</v>
      </c>
      <c r="D1100">
        <v>376.76</v>
      </c>
      <c r="E1100">
        <v>378.16</v>
      </c>
      <c r="F1100">
        <v>362.9</v>
      </c>
      <c r="G1100" s="1" t="s">
        <v>665</v>
      </c>
      <c r="H1100">
        <v>-7.6E-3</v>
      </c>
      <c r="I1100" s="3">
        <f t="shared" si="17"/>
        <v>5.7281140304222856E-2</v>
      </c>
    </row>
    <row r="1101" spans="1:9" x14ac:dyDescent="0.35">
      <c r="A1101" s="1" t="s">
        <v>652</v>
      </c>
      <c r="B1101" s="2">
        <v>45292</v>
      </c>
      <c r="C1101">
        <v>397.58</v>
      </c>
      <c r="D1101">
        <v>373.86</v>
      </c>
      <c r="E1101">
        <v>415.32</v>
      </c>
      <c r="F1101">
        <v>366.5</v>
      </c>
      <c r="G1101" s="1" t="s">
        <v>664</v>
      </c>
      <c r="H1101">
        <v>5.7299999999999997E-2</v>
      </c>
      <c r="I1101" s="3">
        <f t="shared" si="17"/>
        <v>4.0394386035514873E-2</v>
      </c>
    </row>
    <row r="1102" spans="1:9" x14ac:dyDescent="0.35">
      <c r="A1102" s="1" t="s">
        <v>652</v>
      </c>
      <c r="B1102" s="2">
        <v>45323</v>
      </c>
      <c r="C1102">
        <v>413.64</v>
      </c>
      <c r="D1102">
        <v>401.83</v>
      </c>
      <c r="E1102">
        <v>420.82</v>
      </c>
      <c r="F1102">
        <v>397.22</v>
      </c>
      <c r="G1102" s="1" t="s">
        <v>663</v>
      </c>
      <c r="H1102">
        <v>4.0399999999999998E-2</v>
      </c>
      <c r="I1102" s="3">
        <f t="shared" si="17"/>
        <v>1.7116333043226094E-2</v>
      </c>
    </row>
    <row r="1103" spans="1:9" x14ac:dyDescent="0.35">
      <c r="A1103" s="1" t="s">
        <v>652</v>
      </c>
      <c r="B1103" s="2">
        <v>45352</v>
      </c>
      <c r="C1103">
        <v>420.72</v>
      </c>
      <c r="D1103">
        <v>411.27</v>
      </c>
      <c r="E1103">
        <v>430.82</v>
      </c>
      <c r="F1103">
        <v>398.39</v>
      </c>
      <c r="G1103" s="1" t="s">
        <v>662</v>
      </c>
      <c r="H1103">
        <v>1.7100000000000001E-2</v>
      </c>
      <c r="I1103" s="3">
        <f t="shared" si="17"/>
        <v>-7.4610192051720953E-2</v>
      </c>
    </row>
    <row r="1104" spans="1:9" x14ac:dyDescent="0.35">
      <c r="A1104" s="1" t="s">
        <v>652</v>
      </c>
      <c r="B1104" s="2">
        <v>45383</v>
      </c>
      <c r="C1104">
        <v>389.33</v>
      </c>
      <c r="D1104">
        <v>423.95</v>
      </c>
      <c r="E1104">
        <v>429.37</v>
      </c>
      <c r="F1104">
        <v>388.03</v>
      </c>
      <c r="G1104" s="1" t="s">
        <v>661</v>
      </c>
      <c r="H1104">
        <v>-7.46E-2</v>
      </c>
      <c r="I1104" s="3">
        <f t="shared" si="17"/>
        <v>6.6267690648036406E-2</v>
      </c>
    </row>
    <row r="1105" spans="1:9" x14ac:dyDescent="0.35">
      <c r="A1105" s="1" t="s">
        <v>652</v>
      </c>
      <c r="B1105" s="2">
        <v>45413</v>
      </c>
      <c r="C1105">
        <v>415.13</v>
      </c>
      <c r="D1105">
        <v>392.61</v>
      </c>
      <c r="E1105">
        <v>433.6</v>
      </c>
      <c r="F1105">
        <v>390.31</v>
      </c>
      <c r="G1105" s="1" t="s">
        <v>660</v>
      </c>
      <c r="H1105">
        <v>6.6299999999999998E-2</v>
      </c>
      <c r="I1105" s="3">
        <f t="shared" si="17"/>
        <v>7.6650687736371723E-2</v>
      </c>
    </row>
    <row r="1106" spans="1:9" x14ac:dyDescent="0.35">
      <c r="A1106" s="1" t="s">
        <v>652</v>
      </c>
      <c r="B1106" s="2">
        <v>45444</v>
      </c>
      <c r="C1106">
        <v>446.95</v>
      </c>
      <c r="D1106">
        <v>415.52</v>
      </c>
      <c r="E1106">
        <v>456.17</v>
      </c>
      <c r="F1106">
        <v>408.92</v>
      </c>
      <c r="G1106" s="1" t="s">
        <v>659</v>
      </c>
      <c r="H1106">
        <v>7.6700000000000004E-2</v>
      </c>
      <c r="I1106" s="3">
        <f t="shared" si="17"/>
        <v>-6.3989260543684895E-2</v>
      </c>
    </row>
    <row r="1107" spans="1:9" x14ac:dyDescent="0.35">
      <c r="A1107" s="1" t="s">
        <v>652</v>
      </c>
      <c r="B1107" s="2">
        <v>45474</v>
      </c>
      <c r="C1107">
        <v>418.35</v>
      </c>
      <c r="D1107">
        <v>448.66</v>
      </c>
      <c r="E1107">
        <v>468.35</v>
      </c>
      <c r="F1107">
        <v>412.21</v>
      </c>
      <c r="G1107" s="1" t="s">
        <v>658</v>
      </c>
      <c r="H1107">
        <v>-6.4000000000000001E-2</v>
      </c>
      <c r="I1107" s="3">
        <f t="shared" si="17"/>
        <v>-2.8923150472093613E-3</v>
      </c>
    </row>
    <row r="1108" spans="1:9" x14ac:dyDescent="0.35">
      <c r="A1108" s="1" t="s">
        <v>652</v>
      </c>
      <c r="B1108" s="2">
        <v>45505</v>
      </c>
      <c r="C1108">
        <v>417.14</v>
      </c>
      <c r="D1108">
        <v>420.79</v>
      </c>
      <c r="E1108">
        <v>427.46</v>
      </c>
      <c r="F1108">
        <v>385.58</v>
      </c>
      <c r="G1108" s="1" t="s">
        <v>657</v>
      </c>
      <c r="H1108">
        <v>-2.8999999999999998E-3</v>
      </c>
      <c r="I1108" s="3">
        <f t="shared" si="17"/>
        <v>3.1548161288776008E-2</v>
      </c>
    </row>
    <row r="1109" spans="1:9" x14ac:dyDescent="0.35">
      <c r="A1109" s="1" t="s">
        <v>652</v>
      </c>
      <c r="B1109" s="2">
        <v>45536</v>
      </c>
      <c r="C1109">
        <v>430.3</v>
      </c>
      <c r="D1109">
        <v>417.91</v>
      </c>
      <c r="E1109">
        <v>441.85</v>
      </c>
      <c r="F1109">
        <v>400.8</v>
      </c>
      <c r="G1109" s="1" t="s">
        <v>656</v>
      </c>
      <c r="H1109">
        <v>3.15E-2</v>
      </c>
      <c r="I1109" s="3">
        <f t="shared" si="17"/>
        <v>-5.5658842667906085E-2</v>
      </c>
    </row>
    <row r="1110" spans="1:9" x14ac:dyDescent="0.35">
      <c r="A1110" s="1" t="s">
        <v>652</v>
      </c>
      <c r="B1110" s="2">
        <v>45566</v>
      </c>
      <c r="C1110">
        <v>406.35</v>
      </c>
      <c r="D1110">
        <v>428.45</v>
      </c>
      <c r="E1110">
        <v>438.5</v>
      </c>
      <c r="F1110">
        <v>406.3</v>
      </c>
      <c r="G1110" s="1" t="s">
        <v>655</v>
      </c>
      <c r="H1110">
        <v>-5.57E-2</v>
      </c>
      <c r="I1110" s="3">
        <f t="shared" si="17"/>
        <v>4.2106558385628046E-2</v>
      </c>
    </row>
    <row r="1111" spans="1:9" x14ac:dyDescent="0.35">
      <c r="A1111" s="1" t="s">
        <v>652</v>
      </c>
      <c r="B1111" s="2">
        <v>45597</v>
      </c>
      <c r="C1111">
        <v>423.46</v>
      </c>
      <c r="D1111">
        <v>409.01</v>
      </c>
      <c r="E1111">
        <v>429.33</v>
      </c>
      <c r="F1111">
        <v>405.57</v>
      </c>
      <c r="G1111" s="1" t="s">
        <v>654</v>
      </c>
      <c r="H1111">
        <v>4.2099999999999999E-2</v>
      </c>
      <c r="I1111" s="3">
        <f t="shared" si="17"/>
        <v>-4.6285363434562408E-3</v>
      </c>
    </row>
    <row r="1112" spans="1:9" x14ac:dyDescent="0.35">
      <c r="A1112" s="1" t="s">
        <v>652</v>
      </c>
      <c r="B1112" s="2">
        <v>45627</v>
      </c>
      <c r="C1112">
        <v>421.5</v>
      </c>
      <c r="D1112">
        <v>421.57</v>
      </c>
      <c r="E1112">
        <v>456.16</v>
      </c>
      <c r="F1112">
        <v>420.66</v>
      </c>
      <c r="G1112" s="1" t="s">
        <v>653</v>
      </c>
      <c r="H1112">
        <v>-4.5999999999999999E-3</v>
      </c>
      <c r="I1112" s="3">
        <f t="shared" si="17"/>
        <v>0</v>
      </c>
    </row>
    <row r="1113" spans="1:9" x14ac:dyDescent="0.35">
      <c r="A1113" s="1" t="s">
        <v>804</v>
      </c>
      <c r="B1113" s="2">
        <v>38353</v>
      </c>
      <c r="C1113">
        <v>0.19</v>
      </c>
      <c r="D1113">
        <v>0.2</v>
      </c>
      <c r="E1113">
        <v>0.21</v>
      </c>
      <c r="F1113">
        <v>0.17</v>
      </c>
      <c r="G1113" s="1" t="s">
        <v>1011</v>
      </c>
      <c r="H1113">
        <v>-0.05</v>
      </c>
      <c r="I1113" s="3">
        <f t="shared" si="17"/>
        <v>0.26315789473684204</v>
      </c>
    </row>
    <row r="1114" spans="1:9" x14ac:dyDescent="0.35">
      <c r="A1114" s="1" t="s">
        <v>804</v>
      </c>
      <c r="B1114" s="2">
        <v>38384</v>
      </c>
      <c r="C1114">
        <v>0.24</v>
      </c>
      <c r="D1114">
        <v>0.19</v>
      </c>
      <c r="E1114">
        <v>0.24</v>
      </c>
      <c r="F1114">
        <v>0.19</v>
      </c>
      <c r="G1114" s="1" t="s">
        <v>1010</v>
      </c>
      <c r="H1114">
        <v>0.26319999999999999</v>
      </c>
      <c r="I1114" s="3">
        <f t="shared" si="17"/>
        <v>-0.1666666666666666</v>
      </c>
    </row>
    <row r="1115" spans="1:9" x14ac:dyDescent="0.35">
      <c r="A1115" s="1" t="s">
        <v>804</v>
      </c>
      <c r="B1115" s="2">
        <v>38412</v>
      </c>
      <c r="C1115">
        <v>0.2</v>
      </c>
      <c r="D1115">
        <v>0.24</v>
      </c>
      <c r="E1115">
        <v>0.25</v>
      </c>
      <c r="F1115">
        <v>0.2</v>
      </c>
      <c r="G1115" s="1" t="s">
        <v>462</v>
      </c>
      <c r="H1115">
        <v>-0.16669999999999999</v>
      </c>
      <c r="I1115" s="3">
        <f t="shared" si="17"/>
        <v>-0.10000000000000009</v>
      </c>
    </row>
    <row r="1116" spans="1:9" x14ac:dyDescent="0.35">
      <c r="A1116" s="1" t="s">
        <v>804</v>
      </c>
      <c r="B1116" s="2">
        <v>38443</v>
      </c>
      <c r="C1116">
        <v>0.18</v>
      </c>
      <c r="D1116">
        <v>0.2</v>
      </c>
      <c r="E1116">
        <v>0.2</v>
      </c>
      <c r="F1116">
        <v>0.17</v>
      </c>
      <c r="G1116" s="1" t="s">
        <v>1009</v>
      </c>
      <c r="H1116">
        <v>-0.1</v>
      </c>
      <c r="I1116" s="3">
        <f t="shared" si="17"/>
        <v>0.2777777777777779</v>
      </c>
    </row>
    <row r="1117" spans="1:9" x14ac:dyDescent="0.35">
      <c r="A1117" s="1" t="s">
        <v>804</v>
      </c>
      <c r="B1117" s="2">
        <v>38473</v>
      </c>
      <c r="C1117">
        <v>0.23</v>
      </c>
      <c r="D1117">
        <v>0.18</v>
      </c>
      <c r="E1117">
        <v>0.23</v>
      </c>
      <c r="F1117">
        <v>0.18</v>
      </c>
      <c r="G1117" s="1" t="s">
        <v>1008</v>
      </c>
      <c r="H1117">
        <v>0.27779999999999999</v>
      </c>
      <c r="I1117" s="3">
        <f t="shared" si="17"/>
        <v>-4.3478260869565251E-2</v>
      </c>
    </row>
    <row r="1118" spans="1:9" x14ac:dyDescent="0.35">
      <c r="A1118" s="1" t="s">
        <v>804</v>
      </c>
      <c r="B1118" s="2">
        <v>38504</v>
      </c>
      <c r="C1118">
        <v>0.22</v>
      </c>
      <c r="D1118">
        <v>0.22</v>
      </c>
      <c r="E1118">
        <v>0.24</v>
      </c>
      <c r="F1118">
        <v>0.21</v>
      </c>
      <c r="G1118" s="1" t="s">
        <v>1007</v>
      </c>
      <c r="H1118">
        <v>-4.3499999999999997E-2</v>
      </c>
      <c r="I1118" s="3">
        <f t="shared" si="17"/>
        <v>4.5454545454545497E-2</v>
      </c>
    </row>
    <row r="1119" spans="1:9" x14ac:dyDescent="0.35">
      <c r="A1119" s="1" t="s">
        <v>804</v>
      </c>
      <c r="B1119" s="2">
        <v>38534</v>
      </c>
      <c r="C1119">
        <v>0.23</v>
      </c>
      <c r="D1119">
        <v>0.22</v>
      </c>
      <c r="E1119">
        <v>0.24</v>
      </c>
      <c r="F1119">
        <v>0.21</v>
      </c>
      <c r="G1119" s="1" t="s">
        <v>1006</v>
      </c>
      <c r="H1119">
        <v>4.5499999999999999E-2</v>
      </c>
      <c r="I1119" s="3">
        <f t="shared" si="17"/>
        <v>0.13043478260869565</v>
      </c>
    </row>
    <row r="1120" spans="1:9" x14ac:dyDescent="0.35">
      <c r="A1120" s="1" t="s">
        <v>804</v>
      </c>
      <c r="B1120" s="2">
        <v>38565</v>
      </c>
      <c r="C1120">
        <v>0.26</v>
      </c>
      <c r="D1120">
        <v>0.23</v>
      </c>
      <c r="E1120">
        <v>0.26</v>
      </c>
      <c r="F1120">
        <v>0.23</v>
      </c>
      <c r="G1120" s="1" t="s">
        <v>1005</v>
      </c>
      <c r="H1120">
        <v>0.13039999999999999</v>
      </c>
      <c r="I1120" s="3">
        <f t="shared" si="17"/>
        <v>0.11538461538461527</v>
      </c>
    </row>
    <row r="1121" spans="1:9" x14ac:dyDescent="0.35">
      <c r="A1121" s="1" t="s">
        <v>804</v>
      </c>
      <c r="B1121" s="2">
        <v>38596</v>
      </c>
      <c r="C1121">
        <v>0.28999999999999998</v>
      </c>
      <c r="D1121">
        <v>0.25</v>
      </c>
      <c r="E1121">
        <v>0.28999999999999998</v>
      </c>
      <c r="F1121">
        <v>0.25</v>
      </c>
      <c r="G1121" s="1" t="s">
        <v>1004</v>
      </c>
      <c r="H1121">
        <v>0.1154</v>
      </c>
      <c r="I1121" s="3">
        <f t="shared" si="17"/>
        <v>-3.4482758620689495E-2</v>
      </c>
    </row>
    <row r="1122" spans="1:9" x14ac:dyDescent="0.35">
      <c r="A1122" s="1" t="s">
        <v>804</v>
      </c>
      <c r="B1122" s="2">
        <v>38626</v>
      </c>
      <c r="C1122">
        <v>0.28000000000000003</v>
      </c>
      <c r="D1122">
        <v>0.28999999999999998</v>
      </c>
      <c r="E1122">
        <v>0.3</v>
      </c>
      <c r="F1122">
        <v>0.25</v>
      </c>
      <c r="G1122" s="1" t="s">
        <v>925</v>
      </c>
      <c r="H1122">
        <v>-3.4500000000000003E-2</v>
      </c>
      <c r="I1122" s="3">
        <f t="shared" si="17"/>
        <v>7.1428571428571286E-2</v>
      </c>
    </row>
    <row r="1123" spans="1:9" x14ac:dyDescent="0.35">
      <c r="A1123" s="1" t="s">
        <v>804</v>
      </c>
      <c r="B1123" s="2">
        <v>38657</v>
      </c>
      <c r="C1123">
        <v>0.3</v>
      </c>
      <c r="D1123">
        <v>0.28000000000000003</v>
      </c>
      <c r="E1123">
        <v>0.32</v>
      </c>
      <c r="F1123">
        <v>0.27</v>
      </c>
      <c r="G1123" s="1" t="s">
        <v>1003</v>
      </c>
      <c r="H1123">
        <v>7.1400000000000005E-2</v>
      </c>
      <c r="I1123" s="3">
        <f t="shared" si="17"/>
        <v>0</v>
      </c>
    </row>
    <row r="1124" spans="1:9" x14ac:dyDescent="0.35">
      <c r="A1124" s="1" t="s">
        <v>804</v>
      </c>
      <c r="B1124" s="2">
        <v>38687</v>
      </c>
      <c r="C1124">
        <v>0.3</v>
      </c>
      <c r="D1124">
        <v>0.3</v>
      </c>
      <c r="E1124">
        <v>0.32</v>
      </c>
      <c r="F1124">
        <v>0.3</v>
      </c>
      <c r="G1124" s="1" t="s">
        <v>1002</v>
      </c>
      <c r="H1124">
        <v>0</v>
      </c>
      <c r="I1124" s="3">
        <f t="shared" si="17"/>
        <v>0.23333333333333336</v>
      </c>
    </row>
    <row r="1125" spans="1:9" x14ac:dyDescent="0.35">
      <c r="A1125" s="1" t="s">
        <v>804</v>
      </c>
      <c r="B1125" s="2">
        <v>38718</v>
      </c>
      <c r="C1125">
        <v>0.37</v>
      </c>
      <c r="D1125">
        <v>0.31</v>
      </c>
      <c r="E1125">
        <v>0.39</v>
      </c>
      <c r="F1125">
        <v>0.31</v>
      </c>
      <c r="G1125" s="1" t="s">
        <v>1001</v>
      </c>
      <c r="H1125">
        <v>0.23330000000000001</v>
      </c>
      <c r="I1125" s="3">
        <f t="shared" si="17"/>
        <v>5.4054054054054106E-2</v>
      </c>
    </row>
    <row r="1126" spans="1:9" x14ac:dyDescent="0.35">
      <c r="A1126" s="1" t="s">
        <v>804</v>
      </c>
      <c r="B1126" s="2">
        <v>38749</v>
      </c>
      <c r="C1126">
        <v>0.39</v>
      </c>
      <c r="D1126">
        <v>0.37</v>
      </c>
      <c r="E1126">
        <v>0.42</v>
      </c>
      <c r="F1126">
        <v>0.36</v>
      </c>
      <c r="G1126" s="1" t="s">
        <v>1000</v>
      </c>
      <c r="H1126">
        <v>5.4100000000000002E-2</v>
      </c>
      <c r="I1126" s="3">
        <f t="shared" si="17"/>
        <v>0.23076923076923067</v>
      </c>
    </row>
    <row r="1127" spans="1:9" x14ac:dyDescent="0.35">
      <c r="A1127" s="1" t="s">
        <v>804</v>
      </c>
      <c r="B1127" s="2">
        <v>38777</v>
      </c>
      <c r="C1127">
        <v>0.48</v>
      </c>
      <c r="D1127">
        <v>0.39</v>
      </c>
      <c r="E1127">
        <v>0.49</v>
      </c>
      <c r="F1127">
        <v>0.39</v>
      </c>
      <c r="G1127" s="1" t="s">
        <v>999</v>
      </c>
      <c r="H1127">
        <v>0.23080000000000001</v>
      </c>
      <c r="I1127" s="3">
        <f t="shared" si="17"/>
        <v>2.0833333333333353E-2</v>
      </c>
    </row>
    <row r="1128" spans="1:9" x14ac:dyDescent="0.35">
      <c r="A1128" s="1" t="s">
        <v>804</v>
      </c>
      <c r="B1128" s="2">
        <v>38808</v>
      </c>
      <c r="C1128">
        <v>0.49</v>
      </c>
      <c r="D1128">
        <v>0.48</v>
      </c>
      <c r="E1128">
        <v>0.51</v>
      </c>
      <c r="F1128">
        <v>0.46</v>
      </c>
      <c r="G1128" s="1" t="s">
        <v>998</v>
      </c>
      <c r="H1128">
        <v>2.0799999999999999E-2</v>
      </c>
      <c r="I1128" s="3">
        <f t="shared" si="17"/>
        <v>-0.22448979591836732</v>
      </c>
    </row>
    <row r="1129" spans="1:9" x14ac:dyDescent="0.35">
      <c r="A1129" s="1" t="s">
        <v>804</v>
      </c>
      <c r="B1129" s="2">
        <v>38838</v>
      </c>
      <c r="C1129">
        <v>0.38</v>
      </c>
      <c r="D1129">
        <v>0.49</v>
      </c>
      <c r="E1129">
        <v>0.53</v>
      </c>
      <c r="F1129">
        <v>0.38</v>
      </c>
      <c r="G1129" s="1" t="s">
        <v>997</v>
      </c>
      <c r="H1129">
        <v>-0.22450000000000001</v>
      </c>
      <c r="I1129" s="3">
        <f t="shared" si="17"/>
        <v>-7.8947368421052697E-2</v>
      </c>
    </row>
    <row r="1130" spans="1:9" x14ac:dyDescent="0.35">
      <c r="A1130" s="1" t="s">
        <v>804</v>
      </c>
      <c r="B1130" s="2">
        <v>38869</v>
      </c>
      <c r="C1130">
        <v>0.35</v>
      </c>
      <c r="D1130">
        <v>0.39</v>
      </c>
      <c r="E1130">
        <v>0.41</v>
      </c>
      <c r="F1130">
        <v>0.32</v>
      </c>
      <c r="G1130" s="1" t="s">
        <v>996</v>
      </c>
      <c r="H1130">
        <v>-7.8899999999999998E-2</v>
      </c>
      <c r="I1130" s="3">
        <f t="shared" si="17"/>
        <v>5.7142857142857197E-2</v>
      </c>
    </row>
    <row r="1131" spans="1:9" x14ac:dyDescent="0.35">
      <c r="A1131" s="1" t="s">
        <v>804</v>
      </c>
      <c r="B1131" s="2">
        <v>38899</v>
      </c>
      <c r="C1131">
        <v>0.37</v>
      </c>
      <c r="D1131">
        <v>0.36</v>
      </c>
      <c r="E1131">
        <v>0.38</v>
      </c>
      <c r="F1131">
        <v>0.28999999999999998</v>
      </c>
      <c r="G1131" s="1" t="s">
        <v>995</v>
      </c>
      <c r="H1131">
        <v>5.7099999999999998E-2</v>
      </c>
      <c r="I1131" s="3">
        <f t="shared" si="17"/>
        <v>0.32432432432432434</v>
      </c>
    </row>
    <row r="1132" spans="1:9" x14ac:dyDescent="0.35">
      <c r="A1132" s="1" t="s">
        <v>804</v>
      </c>
      <c r="B1132" s="2">
        <v>38930</v>
      </c>
      <c r="C1132">
        <v>0.49</v>
      </c>
      <c r="D1132">
        <v>0.36</v>
      </c>
      <c r="E1132">
        <v>0.49</v>
      </c>
      <c r="F1132">
        <v>0.35</v>
      </c>
      <c r="G1132" s="1" t="s">
        <v>994</v>
      </c>
      <c r="H1132">
        <v>0.32429999999999998</v>
      </c>
      <c r="I1132" s="3">
        <f t="shared" si="17"/>
        <v>0</v>
      </c>
    </row>
    <row r="1133" spans="1:9" x14ac:dyDescent="0.35">
      <c r="A1133" s="1" t="s">
        <v>804</v>
      </c>
      <c r="B1133" s="2">
        <v>38961</v>
      </c>
      <c r="C1133">
        <v>0.49</v>
      </c>
      <c r="D1133">
        <v>0.48</v>
      </c>
      <c r="E1133">
        <v>0.52</v>
      </c>
      <c r="F1133">
        <v>0.44</v>
      </c>
      <c r="G1133" s="1" t="s">
        <v>931</v>
      </c>
      <c r="H1133">
        <v>0</v>
      </c>
      <c r="I1133" s="3">
        <f t="shared" si="17"/>
        <v>0.18367346938775503</v>
      </c>
    </row>
    <row r="1134" spans="1:9" x14ac:dyDescent="0.35">
      <c r="A1134" s="1" t="s">
        <v>804</v>
      </c>
      <c r="B1134" s="2">
        <v>38991</v>
      </c>
      <c r="C1134">
        <v>0.57999999999999996</v>
      </c>
      <c r="D1134">
        <v>0.49</v>
      </c>
      <c r="E1134">
        <v>0.57999999999999996</v>
      </c>
      <c r="F1134">
        <v>0.46</v>
      </c>
      <c r="G1134" s="1" t="s">
        <v>993</v>
      </c>
      <c r="H1134">
        <v>0.1837</v>
      </c>
      <c r="I1134" s="3">
        <f t="shared" si="17"/>
        <v>6.8965517241379379E-2</v>
      </c>
    </row>
    <row r="1135" spans="1:9" x14ac:dyDescent="0.35">
      <c r="A1135" s="1" t="s">
        <v>804</v>
      </c>
      <c r="B1135" s="2">
        <v>39022</v>
      </c>
      <c r="C1135">
        <v>0.62</v>
      </c>
      <c r="D1135">
        <v>0.56999999999999995</v>
      </c>
      <c r="E1135">
        <v>0.62</v>
      </c>
      <c r="F1135">
        <v>0.53</v>
      </c>
      <c r="G1135" s="1" t="s">
        <v>512</v>
      </c>
      <c r="H1135">
        <v>6.9000000000000006E-2</v>
      </c>
      <c r="I1135" s="3">
        <f t="shared" si="17"/>
        <v>0</v>
      </c>
    </row>
    <row r="1136" spans="1:9" x14ac:dyDescent="0.35">
      <c r="A1136" s="1" t="s">
        <v>804</v>
      </c>
      <c r="B1136" s="2">
        <v>39052</v>
      </c>
      <c r="C1136">
        <v>0.62</v>
      </c>
      <c r="D1136">
        <v>0.61</v>
      </c>
      <c r="E1136">
        <v>0.65</v>
      </c>
      <c r="F1136">
        <v>0.57999999999999996</v>
      </c>
      <c r="G1136" s="1" t="s">
        <v>992</v>
      </c>
      <c r="H1136">
        <v>0</v>
      </c>
      <c r="I1136" s="3">
        <f t="shared" si="17"/>
        <v>-0.17741935483870966</v>
      </c>
    </row>
    <row r="1137" spans="1:9" x14ac:dyDescent="0.35">
      <c r="A1137" s="1" t="s">
        <v>804</v>
      </c>
      <c r="B1137" s="2">
        <v>39083</v>
      </c>
      <c r="C1137">
        <v>0.51</v>
      </c>
      <c r="D1137">
        <v>0.62</v>
      </c>
      <c r="E1137">
        <v>0.63</v>
      </c>
      <c r="F1137">
        <v>0.5</v>
      </c>
      <c r="G1137" s="1" t="s">
        <v>991</v>
      </c>
      <c r="H1137">
        <v>-0.1774</v>
      </c>
      <c r="I1137" s="3">
        <f t="shared" si="17"/>
        <v>1.9607843137254919E-2</v>
      </c>
    </row>
    <row r="1138" spans="1:9" x14ac:dyDescent="0.35">
      <c r="A1138" s="1" t="s">
        <v>804</v>
      </c>
      <c r="B1138" s="2">
        <v>39114</v>
      </c>
      <c r="C1138">
        <v>0.52</v>
      </c>
      <c r="D1138">
        <v>0.51</v>
      </c>
      <c r="E1138">
        <v>0.57999999999999996</v>
      </c>
      <c r="F1138">
        <v>0.51</v>
      </c>
      <c r="G1138" s="1" t="s">
        <v>990</v>
      </c>
      <c r="H1138">
        <v>1.9599999999999999E-2</v>
      </c>
      <c r="I1138" s="3">
        <f t="shared" si="17"/>
        <v>-7.6923076923076983E-2</v>
      </c>
    </row>
    <row r="1139" spans="1:9" x14ac:dyDescent="0.35">
      <c r="A1139" s="1" t="s">
        <v>804</v>
      </c>
      <c r="B1139" s="2">
        <v>39142</v>
      </c>
      <c r="C1139">
        <v>0.48</v>
      </c>
      <c r="D1139">
        <v>0.51</v>
      </c>
      <c r="E1139">
        <v>0.53</v>
      </c>
      <c r="F1139">
        <v>0.47</v>
      </c>
      <c r="G1139" s="1" t="s">
        <v>989</v>
      </c>
      <c r="H1139">
        <v>-7.6899999999999996E-2</v>
      </c>
      <c r="I1139" s="3">
        <f t="shared" si="17"/>
        <v>0.14583333333333348</v>
      </c>
    </row>
    <row r="1140" spans="1:9" x14ac:dyDescent="0.35">
      <c r="A1140" s="1" t="s">
        <v>804</v>
      </c>
      <c r="B1140" s="2">
        <v>39173</v>
      </c>
      <c r="C1140">
        <v>0.55000000000000004</v>
      </c>
      <c r="D1140">
        <v>0.48</v>
      </c>
      <c r="E1140">
        <v>0.56999999999999995</v>
      </c>
      <c r="F1140">
        <v>0.47</v>
      </c>
      <c r="G1140" s="1" t="s">
        <v>988</v>
      </c>
      <c r="H1140">
        <v>0.14580000000000001</v>
      </c>
      <c r="I1140" s="3">
        <f t="shared" si="17"/>
        <v>5.454545454545439E-2</v>
      </c>
    </row>
    <row r="1141" spans="1:9" x14ac:dyDescent="0.35">
      <c r="A1141" s="1" t="s">
        <v>804</v>
      </c>
      <c r="B1141" s="2">
        <v>39203</v>
      </c>
      <c r="C1141">
        <v>0.57999999999999996</v>
      </c>
      <c r="D1141">
        <v>0.56000000000000005</v>
      </c>
      <c r="E1141">
        <v>0.6</v>
      </c>
      <c r="F1141">
        <v>0.54</v>
      </c>
      <c r="G1141" s="1" t="s">
        <v>465</v>
      </c>
      <c r="H1141">
        <v>5.45E-2</v>
      </c>
      <c r="I1141" s="3">
        <f t="shared" si="17"/>
        <v>0.18965517241379309</v>
      </c>
    </row>
    <row r="1142" spans="1:9" x14ac:dyDescent="0.35">
      <c r="A1142" s="1" t="s">
        <v>804</v>
      </c>
      <c r="B1142" s="2">
        <v>39234</v>
      </c>
      <c r="C1142">
        <v>0.69</v>
      </c>
      <c r="D1142">
        <v>0.57999999999999996</v>
      </c>
      <c r="E1142">
        <v>0.73</v>
      </c>
      <c r="F1142">
        <v>0.56999999999999995</v>
      </c>
      <c r="G1142" s="1" t="s">
        <v>987</v>
      </c>
      <c r="H1142">
        <v>0.18970000000000001</v>
      </c>
      <c r="I1142" s="3">
        <f t="shared" si="17"/>
        <v>0.10144927536231894</v>
      </c>
    </row>
    <row r="1143" spans="1:9" x14ac:dyDescent="0.35">
      <c r="A1143" s="1" t="s">
        <v>804</v>
      </c>
      <c r="B1143" s="2">
        <v>39264</v>
      </c>
      <c r="C1143">
        <v>0.76</v>
      </c>
      <c r="D1143">
        <v>0.7</v>
      </c>
      <c r="E1143">
        <v>0.8</v>
      </c>
      <c r="F1143">
        <v>0.7</v>
      </c>
      <c r="G1143" s="1" t="s">
        <v>986</v>
      </c>
      <c r="H1143">
        <v>0.1014</v>
      </c>
      <c r="I1143" s="3">
        <f t="shared" si="17"/>
        <v>0.1184210526315789</v>
      </c>
    </row>
    <row r="1144" spans="1:9" x14ac:dyDescent="0.35">
      <c r="A1144" s="1" t="s">
        <v>804</v>
      </c>
      <c r="B1144" s="2">
        <v>39295</v>
      </c>
      <c r="C1144">
        <v>0.85</v>
      </c>
      <c r="D1144">
        <v>0.75</v>
      </c>
      <c r="E1144">
        <v>0.86</v>
      </c>
      <c r="F1144">
        <v>0.68</v>
      </c>
      <c r="G1144" s="1" t="s">
        <v>985</v>
      </c>
      <c r="H1144">
        <v>0.11840000000000001</v>
      </c>
      <c r="I1144" s="3">
        <f t="shared" si="17"/>
        <v>7.0588235294117715E-2</v>
      </c>
    </row>
    <row r="1145" spans="1:9" x14ac:dyDescent="0.35">
      <c r="A1145" s="1" t="s">
        <v>804</v>
      </c>
      <c r="B1145" s="2">
        <v>39326</v>
      </c>
      <c r="C1145">
        <v>0.91</v>
      </c>
      <c r="D1145">
        <v>0.86</v>
      </c>
      <c r="E1145">
        <v>0.93</v>
      </c>
      <c r="F1145">
        <v>0.8</v>
      </c>
      <c r="G1145" s="1" t="s">
        <v>984</v>
      </c>
      <c r="H1145">
        <v>7.0599999999999996E-2</v>
      </c>
      <c r="I1145" s="3">
        <f t="shared" si="17"/>
        <v>-3.2967032967032996E-2</v>
      </c>
    </row>
    <row r="1146" spans="1:9" x14ac:dyDescent="0.35">
      <c r="A1146" s="1" t="s">
        <v>804</v>
      </c>
      <c r="B1146" s="2">
        <v>39356</v>
      </c>
      <c r="C1146">
        <v>0.88</v>
      </c>
      <c r="D1146">
        <v>0.91</v>
      </c>
      <c r="E1146">
        <v>0.99</v>
      </c>
      <c r="F1146">
        <v>0.81</v>
      </c>
      <c r="G1146" s="1" t="s">
        <v>983</v>
      </c>
      <c r="H1146">
        <v>-3.3000000000000002E-2</v>
      </c>
      <c r="I1146" s="3">
        <f t="shared" si="17"/>
        <v>-0.10227272727272724</v>
      </c>
    </row>
    <row r="1147" spans="1:9" x14ac:dyDescent="0.35">
      <c r="A1147" s="1" t="s">
        <v>804</v>
      </c>
      <c r="B1147" s="2">
        <v>39387</v>
      </c>
      <c r="C1147">
        <v>0.79</v>
      </c>
      <c r="D1147">
        <v>0.87</v>
      </c>
      <c r="E1147">
        <v>0.95</v>
      </c>
      <c r="F1147">
        <v>0.73</v>
      </c>
      <c r="G1147" s="1" t="s">
        <v>982</v>
      </c>
      <c r="H1147">
        <v>-0.1023</v>
      </c>
      <c r="I1147" s="3">
        <f t="shared" si="17"/>
        <v>7.5949367088607514E-2</v>
      </c>
    </row>
    <row r="1148" spans="1:9" x14ac:dyDescent="0.35">
      <c r="A1148" s="1" t="s">
        <v>804</v>
      </c>
      <c r="B1148" s="2">
        <v>39417</v>
      </c>
      <c r="C1148">
        <v>0.85</v>
      </c>
      <c r="D1148">
        <v>0.8</v>
      </c>
      <c r="E1148">
        <v>0.91</v>
      </c>
      <c r="F1148">
        <v>0.78</v>
      </c>
      <c r="G1148" s="1" t="s">
        <v>981</v>
      </c>
      <c r="H1148">
        <v>7.5899999999999995E-2</v>
      </c>
      <c r="I1148" s="3">
        <f t="shared" si="17"/>
        <v>-0.28235294117647058</v>
      </c>
    </row>
    <row r="1149" spans="1:9" x14ac:dyDescent="0.35">
      <c r="A1149" s="1" t="s">
        <v>804</v>
      </c>
      <c r="B1149" s="2">
        <v>39448</v>
      </c>
      <c r="C1149">
        <v>0.61</v>
      </c>
      <c r="D1149">
        <v>0.85</v>
      </c>
      <c r="E1149">
        <v>0.86</v>
      </c>
      <c r="F1149">
        <v>0.56000000000000005</v>
      </c>
      <c r="G1149" s="1" t="s">
        <v>980</v>
      </c>
      <c r="H1149">
        <v>-0.28239999999999998</v>
      </c>
      <c r="I1149" s="3">
        <f t="shared" si="17"/>
        <v>-0.13114754098360648</v>
      </c>
    </row>
    <row r="1150" spans="1:9" x14ac:dyDescent="0.35">
      <c r="A1150" s="1" t="s">
        <v>804</v>
      </c>
      <c r="B1150" s="2">
        <v>39479</v>
      </c>
      <c r="C1150">
        <v>0.53</v>
      </c>
      <c r="D1150">
        <v>0.61</v>
      </c>
      <c r="E1150">
        <v>0.69</v>
      </c>
      <c r="F1150">
        <v>0.53</v>
      </c>
      <c r="G1150" s="1" t="s">
        <v>979</v>
      </c>
      <c r="H1150">
        <v>-0.13109999999999999</v>
      </c>
      <c r="I1150" s="3">
        <f t="shared" si="17"/>
        <v>-7.5471698113207614E-2</v>
      </c>
    </row>
    <row r="1151" spans="1:9" x14ac:dyDescent="0.35">
      <c r="A1151" s="1" t="s">
        <v>804</v>
      </c>
      <c r="B1151" s="2">
        <v>39508</v>
      </c>
      <c r="C1151">
        <v>0.49</v>
      </c>
      <c r="D1151">
        <v>0.53</v>
      </c>
      <c r="E1151">
        <v>0.54</v>
      </c>
      <c r="F1151">
        <v>0.43</v>
      </c>
      <c r="G1151" s="1" t="s">
        <v>496</v>
      </c>
      <c r="H1151">
        <v>-7.5499999999999998E-2</v>
      </c>
      <c r="I1151" s="3">
        <f t="shared" si="17"/>
        <v>4.0816326530612283E-2</v>
      </c>
    </row>
    <row r="1152" spans="1:9" x14ac:dyDescent="0.35">
      <c r="A1152" s="1" t="s">
        <v>804</v>
      </c>
      <c r="B1152" s="2">
        <v>39539</v>
      </c>
      <c r="C1152">
        <v>0.51</v>
      </c>
      <c r="D1152">
        <v>0.51</v>
      </c>
      <c r="E1152">
        <v>0.53</v>
      </c>
      <c r="F1152">
        <v>0.44</v>
      </c>
      <c r="G1152" s="1" t="s">
        <v>978</v>
      </c>
      <c r="H1152">
        <v>4.0800000000000003E-2</v>
      </c>
      <c r="I1152" s="3">
        <f t="shared" si="17"/>
        <v>0.2156862745098039</v>
      </c>
    </row>
    <row r="1153" spans="1:9" x14ac:dyDescent="0.35">
      <c r="A1153" s="1" t="s">
        <v>804</v>
      </c>
      <c r="B1153" s="2">
        <v>39569</v>
      </c>
      <c r="C1153">
        <v>0.62</v>
      </c>
      <c r="D1153">
        <v>0.52</v>
      </c>
      <c r="E1153">
        <v>0.63</v>
      </c>
      <c r="F1153">
        <v>0.52</v>
      </c>
      <c r="G1153" s="1" t="s">
        <v>977</v>
      </c>
      <c r="H1153">
        <v>0.2157</v>
      </c>
      <c r="I1153" s="3">
        <f t="shared" si="17"/>
        <v>-0.24193548387096778</v>
      </c>
    </row>
    <row r="1154" spans="1:9" x14ac:dyDescent="0.35">
      <c r="A1154" s="1" t="s">
        <v>804</v>
      </c>
      <c r="B1154" s="2">
        <v>39600</v>
      </c>
      <c r="C1154">
        <v>0.47</v>
      </c>
      <c r="D1154">
        <v>0.62</v>
      </c>
      <c r="E1154">
        <v>0.63</v>
      </c>
      <c r="F1154">
        <v>0.46</v>
      </c>
      <c r="G1154" s="1" t="s">
        <v>976</v>
      </c>
      <c r="H1154">
        <v>-0.2419</v>
      </c>
      <c r="I1154" s="3">
        <f t="shared" ref="I1154:I1217" si="18">IF(A1155=A1154, (C1155-C1154)/C1154, 0)</f>
        <v>-0.38297872340425532</v>
      </c>
    </row>
    <row r="1155" spans="1:9" x14ac:dyDescent="0.35">
      <c r="A1155" s="1" t="s">
        <v>804</v>
      </c>
      <c r="B1155" s="2">
        <v>39630</v>
      </c>
      <c r="C1155">
        <v>0.28999999999999998</v>
      </c>
      <c r="D1155">
        <v>0.46</v>
      </c>
      <c r="E1155">
        <v>0.47</v>
      </c>
      <c r="F1155">
        <v>0.27</v>
      </c>
      <c r="G1155" s="1" t="s">
        <v>975</v>
      </c>
      <c r="H1155">
        <v>-0.38300000000000001</v>
      </c>
      <c r="I1155" s="3">
        <f t="shared" si="18"/>
        <v>0.10344827586206906</v>
      </c>
    </row>
    <row r="1156" spans="1:9" x14ac:dyDescent="0.35">
      <c r="A1156" s="1" t="s">
        <v>804</v>
      </c>
      <c r="B1156" s="2">
        <v>39661</v>
      </c>
      <c r="C1156">
        <v>0.32</v>
      </c>
      <c r="D1156">
        <v>0.28000000000000003</v>
      </c>
      <c r="E1156">
        <v>0.35</v>
      </c>
      <c r="F1156">
        <v>0.26</v>
      </c>
      <c r="G1156" s="1" t="s">
        <v>974</v>
      </c>
      <c r="H1156">
        <v>0.10340000000000001</v>
      </c>
      <c r="I1156" s="3">
        <f t="shared" si="18"/>
        <v>-0.15624999999999997</v>
      </c>
    </row>
    <row r="1157" spans="1:9" x14ac:dyDescent="0.35">
      <c r="A1157" s="1" t="s">
        <v>804</v>
      </c>
      <c r="B1157" s="2">
        <v>39692</v>
      </c>
      <c r="C1157">
        <v>0.27</v>
      </c>
      <c r="D1157">
        <v>0.32</v>
      </c>
      <c r="E1157">
        <v>0.32</v>
      </c>
      <c r="F1157">
        <v>0.22</v>
      </c>
      <c r="G1157" s="1" t="s">
        <v>973</v>
      </c>
      <c r="H1157">
        <v>-0.15620000000000001</v>
      </c>
      <c r="I1157" s="3">
        <f t="shared" si="18"/>
        <v>-0.18518518518518523</v>
      </c>
    </row>
    <row r="1158" spans="1:9" x14ac:dyDescent="0.35">
      <c r="A1158" s="1" t="s">
        <v>804</v>
      </c>
      <c r="B1158" s="2">
        <v>39722</v>
      </c>
      <c r="C1158">
        <v>0.22</v>
      </c>
      <c r="D1158">
        <v>0.26</v>
      </c>
      <c r="E1158">
        <v>0.27</v>
      </c>
      <c r="F1158">
        <v>0.15</v>
      </c>
      <c r="G1158" s="1" t="s">
        <v>972</v>
      </c>
      <c r="H1158">
        <v>-0.1852</v>
      </c>
      <c r="I1158" s="3">
        <f t="shared" si="18"/>
        <v>-0.13636363636363635</v>
      </c>
    </row>
    <row r="1159" spans="1:9" x14ac:dyDescent="0.35">
      <c r="A1159" s="1" t="s">
        <v>804</v>
      </c>
      <c r="B1159" s="2">
        <v>39753</v>
      </c>
      <c r="C1159">
        <v>0.19</v>
      </c>
      <c r="D1159">
        <v>0.22</v>
      </c>
      <c r="E1159">
        <v>0.23</v>
      </c>
      <c r="F1159">
        <v>0.14000000000000001</v>
      </c>
      <c r="G1159" s="1" t="s">
        <v>971</v>
      </c>
      <c r="H1159">
        <v>-0.13639999999999999</v>
      </c>
      <c r="I1159" s="3">
        <f t="shared" si="18"/>
        <v>5.2631578947368467E-2</v>
      </c>
    </row>
    <row r="1160" spans="1:9" x14ac:dyDescent="0.35">
      <c r="A1160" s="1" t="s">
        <v>804</v>
      </c>
      <c r="B1160" s="2">
        <v>39783</v>
      </c>
      <c r="C1160">
        <v>0.2</v>
      </c>
      <c r="D1160">
        <v>0.18</v>
      </c>
      <c r="E1160">
        <v>0.24</v>
      </c>
      <c r="F1160">
        <v>0.17</v>
      </c>
      <c r="G1160" s="1" t="s">
        <v>970</v>
      </c>
      <c r="H1160">
        <v>5.2600000000000001E-2</v>
      </c>
      <c r="I1160" s="3">
        <f t="shared" si="18"/>
        <v>0</v>
      </c>
    </row>
    <row r="1161" spans="1:9" x14ac:dyDescent="0.35">
      <c r="A1161" s="1" t="s">
        <v>804</v>
      </c>
      <c r="B1161" s="2">
        <v>39814</v>
      </c>
      <c r="C1161">
        <v>0.2</v>
      </c>
      <c r="D1161">
        <v>0.2</v>
      </c>
      <c r="E1161">
        <v>0.24</v>
      </c>
      <c r="F1161">
        <v>0.18</v>
      </c>
      <c r="G1161" s="1" t="s">
        <v>969</v>
      </c>
      <c r="H1161">
        <v>0</v>
      </c>
      <c r="I1161" s="3">
        <f t="shared" si="18"/>
        <v>4.9999999999999906E-2</v>
      </c>
    </row>
    <row r="1162" spans="1:9" x14ac:dyDescent="0.35">
      <c r="A1162" s="1" t="s">
        <v>804</v>
      </c>
      <c r="B1162" s="2">
        <v>39845</v>
      </c>
      <c r="C1162">
        <v>0.21</v>
      </c>
      <c r="D1162">
        <v>0.2</v>
      </c>
      <c r="E1162">
        <v>0.25</v>
      </c>
      <c r="F1162">
        <v>0.18</v>
      </c>
      <c r="G1162" s="1" t="s">
        <v>968</v>
      </c>
      <c r="H1162">
        <v>0.05</v>
      </c>
      <c r="I1162" s="3">
        <f t="shared" si="18"/>
        <v>0.19047619047619052</v>
      </c>
    </row>
    <row r="1163" spans="1:9" x14ac:dyDescent="0.35">
      <c r="A1163" s="1" t="s">
        <v>804</v>
      </c>
      <c r="B1163" s="2">
        <v>39873</v>
      </c>
      <c r="C1163">
        <v>0.25</v>
      </c>
      <c r="D1163">
        <v>0.2</v>
      </c>
      <c r="E1163">
        <v>0.3</v>
      </c>
      <c r="F1163">
        <v>0.19</v>
      </c>
      <c r="G1163" s="1" t="s">
        <v>967</v>
      </c>
      <c r="H1163">
        <v>0.1905</v>
      </c>
      <c r="I1163" s="3">
        <f t="shared" si="18"/>
        <v>0.15999999999999992</v>
      </c>
    </row>
    <row r="1164" spans="1:9" x14ac:dyDescent="0.35">
      <c r="A1164" s="1" t="s">
        <v>804</v>
      </c>
      <c r="B1164" s="2">
        <v>39904</v>
      </c>
      <c r="C1164">
        <v>0.28999999999999998</v>
      </c>
      <c r="D1164">
        <v>0.24</v>
      </c>
      <c r="E1164">
        <v>0.3</v>
      </c>
      <c r="F1164">
        <v>0.23</v>
      </c>
      <c r="G1164" s="1" t="s">
        <v>966</v>
      </c>
      <c r="H1164">
        <v>0.16</v>
      </c>
      <c r="I1164" s="3">
        <f t="shared" si="18"/>
        <v>-0.10344827586206887</v>
      </c>
    </row>
    <row r="1165" spans="1:9" x14ac:dyDescent="0.35">
      <c r="A1165" s="1" t="s">
        <v>804</v>
      </c>
      <c r="B1165" s="2">
        <v>39934</v>
      </c>
      <c r="C1165">
        <v>0.26</v>
      </c>
      <c r="D1165">
        <v>0.28999999999999998</v>
      </c>
      <c r="E1165">
        <v>0.31</v>
      </c>
      <c r="F1165">
        <v>0.21</v>
      </c>
      <c r="G1165" s="1" t="s">
        <v>965</v>
      </c>
      <c r="H1165">
        <v>-0.10340000000000001</v>
      </c>
      <c r="I1165" s="3">
        <f t="shared" si="18"/>
        <v>7.6923076923076983E-2</v>
      </c>
    </row>
    <row r="1166" spans="1:9" x14ac:dyDescent="0.35">
      <c r="A1166" s="1" t="s">
        <v>804</v>
      </c>
      <c r="B1166" s="2">
        <v>39965</v>
      </c>
      <c r="C1166">
        <v>0.28000000000000003</v>
      </c>
      <c r="D1166">
        <v>0.26</v>
      </c>
      <c r="E1166">
        <v>0.3</v>
      </c>
      <c r="F1166">
        <v>0.25</v>
      </c>
      <c r="G1166" s="1" t="s">
        <v>964</v>
      </c>
      <c r="H1166">
        <v>7.6899999999999996E-2</v>
      </c>
      <c r="I1166" s="3">
        <f t="shared" si="18"/>
        <v>0.14285714285714277</v>
      </c>
    </row>
    <row r="1167" spans="1:9" x14ac:dyDescent="0.35">
      <c r="A1167" s="1" t="s">
        <v>804</v>
      </c>
      <c r="B1167" s="2">
        <v>39995</v>
      </c>
      <c r="C1167">
        <v>0.32</v>
      </c>
      <c r="D1167">
        <v>0.28000000000000003</v>
      </c>
      <c r="E1167">
        <v>0.33</v>
      </c>
      <c r="F1167">
        <v>0.24</v>
      </c>
      <c r="G1167" s="1" t="s">
        <v>963</v>
      </c>
      <c r="H1167">
        <v>0.1429</v>
      </c>
      <c r="I1167" s="3">
        <f t="shared" si="18"/>
        <v>0.12499999999999993</v>
      </c>
    </row>
    <row r="1168" spans="1:9" x14ac:dyDescent="0.35">
      <c r="A1168" s="1" t="s">
        <v>804</v>
      </c>
      <c r="B1168" s="2">
        <v>40026</v>
      </c>
      <c r="C1168">
        <v>0.36</v>
      </c>
      <c r="D1168">
        <v>0.33</v>
      </c>
      <c r="E1168">
        <v>0.38</v>
      </c>
      <c r="F1168">
        <v>0.32</v>
      </c>
      <c r="G1168" s="1" t="s">
        <v>962</v>
      </c>
      <c r="H1168">
        <v>0.125</v>
      </c>
      <c r="I1168" s="3">
        <f t="shared" si="18"/>
        <v>5.5555555555555608E-2</v>
      </c>
    </row>
    <row r="1169" spans="1:9" x14ac:dyDescent="0.35">
      <c r="A1169" s="1" t="s">
        <v>804</v>
      </c>
      <c r="B1169" s="2">
        <v>40057</v>
      </c>
      <c r="C1169">
        <v>0.38</v>
      </c>
      <c r="D1169">
        <v>0.36</v>
      </c>
      <c r="E1169">
        <v>0.41</v>
      </c>
      <c r="F1169">
        <v>0.35</v>
      </c>
      <c r="G1169" s="1" t="s">
        <v>961</v>
      </c>
      <c r="H1169">
        <v>5.5599999999999997E-2</v>
      </c>
      <c r="I1169" s="3">
        <f t="shared" si="18"/>
        <v>-0.21052631578947373</v>
      </c>
    </row>
    <row r="1170" spans="1:9" x14ac:dyDescent="0.35">
      <c r="A1170" s="1" t="s">
        <v>804</v>
      </c>
      <c r="B1170" s="2">
        <v>40087</v>
      </c>
      <c r="C1170">
        <v>0.3</v>
      </c>
      <c r="D1170">
        <v>0.37</v>
      </c>
      <c r="E1170">
        <v>0.37</v>
      </c>
      <c r="F1170">
        <v>0.3</v>
      </c>
      <c r="G1170" s="1" t="s">
        <v>960</v>
      </c>
      <c r="H1170">
        <v>-0.21049999999999999</v>
      </c>
      <c r="I1170" s="3">
        <f t="shared" si="18"/>
        <v>0.10000000000000009</v>
      </c>
    </row>
    <row r="1171" spans="1:9" x14ac:dyDescent="0.35">
      <c r="A1171" s="1" t="s">
        <v>804</v>
      </c>
      <c r="B1171" s="2">
        <v>40118</v>
      </c>
      <c r="C1171">
        <v>0.33</v>
      </c>
      <c r="D1171">
        <v>0.3</v>
      </c>
      <c r="E1171">
        <v>0.35</v>
      </c>
      <c r="F1171">
        <v>0.28999999999999998</v>
      </c>
      <c r="G1171" s="1" t="s">
        <v>957</v>
      </c>
      <c r="H1171">
        <v>0.1</v>
      </c>
      <c r="I1171" s="3">
        <f t="shared" si="18"/>
        <v>0.42424242424242409</v>
      </c>
    </row>
    <row r="1172" spans="1:9" x14ac:dyDescent="0.35">
      <c r="A1172" s="1" t="s">
        <v>804</v>
      </c>
      <c r="B1172" s="2">
        <v>40148</v>
      </c>
      <c r="C1172">
        <v>0.47</v>
      </c>
      <c r="D1172">
        <v>0.33</v>
      </c>
      <c r="E1172">
        <v>0.47</v>
      </c>
      <c r="F1172">
        <v>0.33</v>
      </c>
      <c r="G1172" s="1" t="s">
        <v>959</v>
      </c>
      <c r="H1172">
        <v>0.42420000000000002</v>
      </c>
      <c r="I1172" s="3">
        <f t="shared" si="18"/>
        <v>-0.1914893617021276</v>
      </c>
    </row>
    <row r="1173" spans="1:9" x14ac:dyDescent="0.35">
      <c r="A1173" s="1" t="s">
        <v>804</v>
      </c>
      <c r="B1173" s="2">
        <v>40179</v>
      </c>
      <c r="C1173">
        <v>0.38</v>
      </c>
      <c r="D1173">
        <v>0.46</v>
      </c>
      <c r="E1173">
        <v>0.47</v>
      </c>
      <c r="F1173">
        <v>0.38</v>
      </c>
      <c r="G1173" s="1" t="s">
        <v>958</v>
      </c>
      <c r="H1173">
        <v>-0.1915</v>
      </c>
      <c r="I1173" s="3">
        <f t="shared" si="18"/>
        <v>7.8947368421052558E-2</v>
      </c>
    </row>
    <row r="1174" spans="1:9" x14ac:dyDescent="0.35">
      <c r="A1174" s="1" t="s">
        <v>804</v>
      </c>
      <c r="B1174" s="2">
        <v>40210</v>
      </c>
      <c r="C1174">
        <v>0.41</v>
      </c>
      <c r="D1174">
        <v>0.39</v>
      </c>
      <c r="E1174">
        <v>0.45</v>
      </c>
      <c r="F1174">
        <v>0.38</v>
      </c>
      <c r="G1174" s="1" t="s">
        <v>957</v>
      </c>
      <c r="H1174">
        <v>7.8899999999999998E-2</v>
      </c>
      <c r="I1174" s="3">
        <f t="shared" si="18"/>
        <v>4.8780487804878092E-2</v>
      </c>
    </row>
    <row r="1175" spans="1:9" x14ac:dyDescent="0.35">
      <c r="A1175" s="1" t="s">
        <v>804</v>
      </c>
      <c r="B1175" s="2">
        <v>40238</v>
      </c>
      <c r="C1175">
        <v>0.43</v>
      </c>
      <c r="D1175">
        <v>0.41</v>
      </c>
      <c r="E1175">
        <v>0.46</v>
      </c>
      <c r="F1175">
        <v>0.4</v>
      </c>
      <c r="G1175" s="1" t="s">
        <v>956</v>
      </c>
      <c r="H1175">
        <v>4.8800000000000003E-2</v>
      </c>
      <c r="I1175" s="3">
        <f t="shared" si="18"/>
        <v>-9.3023255813953445E-2</v>
      </c>
    </row>
    <row r="1176" spans="1:9" x14ac:dyDescent="0.35">
      <c r="A1176" s="1" t="s">
        <v>804</v>
      </c>
      <c r="B1176" s="2">
        <v>40269</v>
      </c>
      <c r="C1176">
        <v>0.39</v>
      </c>
      <c r="D1176">
        <v>0.44</v>
      </c>
      <c r="E1176">
        <v>0.45</v>
      </c>
      <c r="F1176">
        <v>0.39</v>
      </c>
      <c r="G1176" s="1" t="s">
        <v>955</v>
      </c>
      <c r="H1176">
        <v>-9.2999999999999999E-2</v>
      </c>
      <c r="I1176" s="3">
        <f t="shared" si="18"/>
        <v>-0.15384615384615383</v>
      </c>
    </row>
    <row r="1177" spans="1:9" x14ac:dyDescent="0.35">
      <c r="A1177" s="1" t="s">
        <v>804</v>
      </c>
      <c r="B1177" s="2">
        <v>40299</v>
      </c>
      <c r="C1177">
        <v>0.33</v>
      </c>
      <c r="D1177">
        <v>0.39</v>
      </c>
      <c r="E1177">
        <v>0.4</v>
      </c>
      <c r="F1177">
        <v>0.3</v>
      </c>
      <c r="G1177" s="1" t="s">
        <v>954</v>
      </c>
      <c r="H1177">
        <v>-0.15379999999999999</v>
      </c>
      <c r="I1177" s="3">
        <f t="shared" si="18"/>
        <v>-0.21212121212121213</v>
      </c>
    </row>
    <row r="1178" spans="1:9" x14ac:dyDescent="0.35">
      <c r="A1178" s="1" t="s">
        <v>804</v>
      </c>
      <c r="B1178" s="2">
        <v>40330</v>
      </c>
      <c r="C1178">
        <v>0.26</v>
      </c>
      <c r="D1178">
        <v>0.32</v>
      </c>
      <c r="E1178">
        <v>0.33</v>
      </c>
      <c r="F1178">
        <v>0.26</v>
      </c>
      <c r="G1178" s="1" t="s">
        <v>953</v>
      </c>
      <c r="H1178">
        <v>-0.21210000000000001</v>
      </c>
      <c r="I1178" s="3">
        <f t="shared" si="18"/>
        <v>-0.11538461538461538</v>
      </c>
    </row>
    <row r="1179" spans="1:9" x14ac:dyDescent="0.35">
      <c r="A1179" s="1" t="s">
        <v>804</v>
      </c>
      <c r="B1179" s="2">
        <v>40360</v>
      </c>
      <c r="C1179">
        <v>0.23</v>
      </c>
      <c r="D1179">
        <v>0.26</v>
      </c>
      <c r="E1179">
        <v>0.28999999999999998</v>
      </c>
      <c r="F1179">
        <v>0.22</v>
      </c>
      <c r="G1179" s="1" t="s">
        <v>952</v>
      </c>
      <c r="H1179">
        <v>-0.1154</v>
      </c>
      <c r="I1179" s="3">
        <f t="shared" si="18"/>
        <v>0</v>
      </c>
    </row>
    <row r="1180" spans="1:9" x14ac:dyDescent="0.35">
      <c r="A1180" s="1" t="s">
        <v>804</v>
      </c>
      <c r="B1180" s="2">
        <v>40391</v>
      </c>
      <c r="C1180">
        <v>0.23</v>
      </c>
      <c r="D1180">
        <v>0.23</v>
      </c>
      <c r="E1180">
        <v>0.26</v>
      </c>
      <c r="F1180">
        <v>0.22</v>
      </c>
      <c r="G1180" s="1" t="s">
        <v>951</v>
      </c>
      <c r="H1180">
        <v>0</v>
      </c>
      <c r="I1180" s="3">
        <f t="shared" si="18"/>
        <v>0.26086956521739119</v>
      </c>
    </row>
    <row r="1181" spans="1:9" x14ac:dyDescent="0.35">
      <c r="A1181" s="1" t="s">
        <v>804</v>
      </c>
      <c r="B1181" s="2">
        <v>40422</v>
      </c>
      <c r="C1181">
        <v>0.28999999999999998</v>
      </c>
      <c r="D1181">
        <v>0.24</v>
      </c>
      <c r="E1181">
        <v>0.31</v>
      </c>
      <c r="F1181">
        <v>0.23</v>
      </c>
      <c r="G1181" s="1" t="s">
        <v>950</v>
      </c>
      <c r="H1181">
        <v>0.26090000000000002</v>
      </c>
      <c r="I1181" s="3">
        <f t="shared" si="18"/>
        <v>3.4482758620689689E-2</v>
      </c>
    </row>
    <row r="1182" spans="1:9" x14ac:dyDescent="0.35">
      <c r="A1182" s="1" t="s">
        <v>804</v>
      </c>
      <c r="B1182" s="2">
        <v>40452</v>
      </c>
      <c r="C1182">
        <v>0.3</v>
      </c>
      <c r="D1182">
        <v>0.3</v>
      </c>
      <c r="E1182">
        <v>0.31</v>
      </c>
      <c r="F1182">
        <v>0.26</v>
      </c>
      <c r="G1182" s="1" t="s">
        <v>949</v>
      </c>
      <c r="H1182">
        <v>3.4500000000000003E-2</v>
      </c>
      <c r="I1182" s="3">
        <f t="shared" si="18"/>
        <v>0.13333333333333347</v>
      </c>
    </row>
    <row r="1183" spans="1:9" x14ac:dyDescent="0.35">
      <c r="A1183" s="1" t="s">
        <v>804</v>
      </c>
      <c r="B1183" s="2">
        <v>40483</v>
      </c>
      <c r="C1183">
        <v>0.34</v>
      </c>
      <c r="D1183">
        <v>0.3</v>
      </c>
      <c r="E1183">
        <v>0.35</v>
      </c>
      <c r="F1183">
        <v>0.3</v>
      </c>
      <c r="G1183" s="1" t="s">
        <v>948</v>
      </c>
      <c r="H1183">
        <v>0.1333</v>
      </c>
      <c r="I1183" s="3">
        <f t="shared" si="18"/>
        <v>0.14705882352941171</v>
      </c>
    </row>
    <row r="1184" spans="1:9" x14ac:dyDescent="0.35">
      <c r="A1184" s="1" t="s">
        <v>804</v>
      </c>
      <c r="B1184" s="2">
        <v>40513</v>
      </c>
      <c r="C1184">
        <v>0.39</v>
      </c>
      <c r="D1184">
        <v>0.35</v>
      </c>
      <c r="E1184">
        <v>0.39</v>
      </c>
      <c r="F1184">
        <v>0.35</v>
      </c>
      <c r="G1184" s="1" t="s">
        <v>947</v>
      </c>
      <c r="H1184">
        <v>0.14710000000000001</v>
      </c>
      <c r="I1184" s="3">
        <f t="shared" si="18"/>
        <v>0.53846153846153832</v>
      </c>
    </row>
    <row r="1185" spans="1:9" x14ac:dyDescent="0.35">
      <c r="A1185" s="1" t="s">
        <v>804</v>
      </c>
      <c r="B1185" s="2">
        <v>40544</v>
      </c>
      <c r="C1185">
        <v>0.6</v>
      </c>
      <c r="D1185">
        <v>0.39</v>
      </c>
      <c r="E1185">
        <v>0.63</v>
      </c>
      <c r="F1185">
        <v>0.39</v>
      </c>
      <c r="G1185" s="1" t="s">
        <v>946</v>
      </c>
      <c r="H1185">
        <v>0.53849999999999998</v>
      </c>
      <c r="I1185" s="3">
        <f t="shared" si="18"/>
        <v>-5.0000000000000044E-2</v>
      </c>
    </row>
    <row r="1186" spans="1:9" x14ac:dyDescent="0.35">
      <c r="A1186" s="1" t="s">
        <v>804</v>
      </c>
      <c r="B1186" s="2">
        <v>40575</v>
      </c>
      <c r="C1186">
        <v>0.56999999999999995</v>
      </c>
      <c r="D1186">
        <v>0.6</v>
      </c>
      <c r="E1186">
        <v>0.65</v>
      </c>
      <c r="F1186">
        <v>0.54</v>
      </c>
      <c r="G1186" s="1" t="s">
        <v>945</v>
      </c>
      <c r="H1186">
        <v>-0.05</v>
      </c>
      <c r="I1186" s="3">
        <f t="shared" si="18"/>
        <v>-0.19298245614035078</v>
      </c>
    </row>
    <row r="1187" spans="1:9" x14ac:dyDescent="0.35">
      <c r="A1187" s="1" t="s">
        <v>804</v>
      </c>
      <c r="B1187" s="2">
        <v>40603</v>
      </c>
      <c r="C1187">
        <v>0.46</v>
      </c>
      <c r="D1187">
        <v>0.56999999999999995</v>
      </c>
      <c r="E1187">
        <v>0.56999999999999995</v>
      </c>
      <c r="F1187">
        <v>0.43</v>
      </c>
      <c r="G1187" s="1" t="s">
        <v>944</v>
      </c>
      <c r="H1187">
        <v>-0.193</v>
      </c>
      <c r="I1187" s="3">
        <f t="shared" si="18"/>
        <v>8.6956521739130391E-2</v>
      </c>
    </row>
    <row r="1188" spans="1:9" x14ac:dyDescent="0.35">
      <c r="A1188" s="1" t="s">
        <v>804</v>
      </c>
      <c r="B1188" s="2">
        <v>40634</v>
      </c>
      <c r="C1188">
        <v>0.5</v>
      </c>
      <c r="D1188">
        <v>0.47</v>
      </c>
      <c r="E1188">
        <v>0.51</v>
      </c>
      <c r="F1188">
        <v>0.42</v>
      </c>
      <c r="G1188" s="1" t="s">
        <v>943</v>
      </c>
      <c r="H1188">
        <v>8.6999999999999994E-2</v>
      </c>
      <c r="I1188" s="3">
        <f t="shared" si="18"/>
        <v>0</v>
      </c>
    </row>
    <row r="1189" spans="1:9" x14ac:dyDescent="0.35">
      <c r="A1189" s="1" t="s">
        <v>804</v>
      </c>
      <c r="B1189" s="2">
        <v>40664</v>
      </c>
      <c r="C1189">
        <v>0.5</v>
      </c>
      <c r="D1189">
        <v>0.51</v>
      </c>
      <c r="E1189">
        <v>0.51</v>
      </c>
      <c r="F1189">
        <v>0.43</v>
      </c>
      <c r="G1189" s="1" t="s">
        <v>942</v>
      </c>
      <c r="H1189">
        <v>0</v>
      </c>
      <c r="I1189" s="3">
        <f t="shared" si="18"/>
        <v>-0.19999999999999996</v>
      </c>
    </row>
    <row r="1190" spans="1:9" x14ac:dyDescent="0.35">
      <c r="A1190" s="1" t="s">
        <v>804</v>
      </c>
      <c r="B1190" s="2">
        <v>40695</v>
      </c>
      <c r="C1190">
        <v>0.4</v>
      </c>
      <c r="D1190">
        <v>0.5</v>
      </c>
      <c r="E1190">
        <v>0.5</v>
      </c>
      <c r="F1190">
        <v>0.37</v>
      </c>
      <c r="G1190" s="1" t="s">
        <v>941</v>
      </c>
      <c r="H1190">
        <v>-0.2</v>
      </c>
      <c r="I1190" s="3">
        <f t="shared" si="18"/>
        <v>-0.12500000000000011</v>
      </c>
    </row>
    <row r="1191" spans="1:9" x14ac:dyDescent="0.35">
      <c r="A1191" s="1" t="s">
        <v>804</v>
      </c>
      <c r="B1191" s="2">
        <v>40725</v>
      </c>
      <c r="C1191">
        <v>0.35</v>
      </c>
      <c r="D1191">
        <v>0.4</v>
      </c>
      <c r="E1191">
        <v>0.41</v>
      </c>
      <c r="F1191">
        <v>0.34</v>
      </c>
      <c r="G1191" s="1" t="s">
        <v>940</v>
      </c>
      <c r="H1191">
        <v>-0.125</v>
      </c>
      <c r="I1191" s="3">
        <f t="shared" si="18"/>
        <v>-5.7142857142857037E-2</v>
      </c>
    </row>
    <row r="1192" spans="1:9" x14ac:dyDescent="0.35">
      <c r="A1192" s="1" t="s">
        <v>804</v>
      </c>
      <c r="B1192" s="2">
        <v>40756</v>
      </c>
      <c r="C1192">
        <v>0.33</v>
      </c>
      <c r="D1192">
        <v>0.35</v>
      </c>
      <c r="E1192">
        <v>0.38</v>
      </c>
      <c r="F1192">
        <v>0.28999999999999998</v>
      </c>
      <c r="G1192" s="1" t="s">
        <v>939</v>
      </c>
      <c r="H1192">
        <v>-5.7099999999999998E-2</v>
      </c>
      <c r="I1192" s="3">
        <f t="shared" si="18"/>
        <v>-6.0606060606060656E-2</v>
      </c>
    </row>
    <row r="1193" spans="1:9" x14ac:dyDescent="0.35">
      <c r="A1193" s="1" t="s">
        <v>804</v>
      </c>
      <c r="B1193" s="2">
        <v>40787</v>
      </c>
      <c r="C1193">
        <v>0.31</v>
      </c>
      <c r="D1193">
        <v>0.34</v>
      </c>
      <c r="E1193">
        <v>0.4</v>
      </c>
      <c r="F1193">
        <v>0.31</v>
      </c>
      <c r="G1193" s="1" t="s">
        <v>938</v>
      </c>
      <c r="H1193">
        <v>-6.0600000000000001E-2</v>
      </c>
      <c r="I1193" s="3">
        <f t="shared" si="18"/>
        <v>0.19354838709677419</v>
      </c>
    </row>
    <row r="1194" spans="1:9" x14ac:dyDescent="0.35">
      <c r="A1194" s="1" t="s">
        <v>804</v>
      </c>
      <c r="B1194" s="2">
        <v>40817</v>
      </c>
      <c r="C1194">
        <v>0.37</v>
      </c>
      <c r="D1194">
        <v>0.31</v>
      </c>
      <c r="E1194">
        <v>0.4</v>
      </c>
      <c r="F1194">
        <v>0.28999999999999998</v>
      </c>
      <c r="G1194" s="1" t="s">
        <v>937</v>
      </c>
      <c r="H1194">
        <v>0.19350000000000001</v>
      </c>
      <c r="I1194" s="3">
        <f t="shared" si="18"/>
        <v>5.4054054054054106E-2</v>
      </c>
    </row>
    <row r="1195" spans="1:9" x14ac:dyDescent="0.35">
      <c r="A1195" s="1" t="s">
        <v>804</v>
      </c>
      <c r="B1195" s="2">
        <v>40848</v>
      </c>
      <c r="C1195">
        <v>0.39</v>
      </c>
      <c r="D1195">
        <v>0.36</v>
      </c>
      <c r="E1195">
        <v>0.39</v>
      </c>
      <c r="F1195">
        <v>0.34</v>
      </c>
      <c r="G1195" s="1" t="s">
        <v>936</v>
      </c>
      <c r="H1195">
        <v>5.4100000000000002E-2</v>
      </c>
      <c r="I1195" s="3">
        <f t="shared" si="18"/>
        <v>-0.10256410256410266</v>
      </c>
    </row>
    <row r="1196" spans="1:9" x14ac:dyDescent="0.35">
      <c r="A1196" s="1" t="s">
        <v>804</v>
      </c>
      <c r="B1196" s="2">
        <v>40878</v>
      </c>
      <c r="C1196">
        <v>0.35</v>
      </c>
      <c r="D1196">
        <v>0.39</v>
      </c>
      <c r="E1196">
        <v>0.4</v>
      </c>
      <c r="F1196">
        <v>0.33</v>
      </c>
      <c r="G1196" s="1" t="s">
        <v>935</v>
      </c>
      <c r="H1196">
        <v>-0.1026</v>
      </c>
      <c r="I1196" s="3">
        <f t="shared" si="18"/>
        <v>5.7142857142857197E-2</v>
      </c>
    </row>
    <row r="1197" spans="1:9" x14ac:dyDescent="0.35">
      <c r="A1197" s="1" t="s">
        <v>804</v>
      </c>
      <c r="B1197" s="2">
        <v>40909</v>
      </c>
      <c r="C1197">
        <v>0.37</v>
      </c>
      <c r="D1197">
        <v>0.36</v>
      </c>
      <c r="E1197">
        <v>0.38</v>
      </c>
      <c r="F1197">
        <v>0.34</v>
      </c>
      <c r="G1197" s="1" t="s">
        <v>934</v>
      </c>
      <c r="H1197">
        <v>5.7099999999999998E-2</v>
      </c>
      <c r="I1197" s="3">
        <f t="shared" si="18"/>
        <v>2.7027027027027053E-2</v>
      </c>
    </row>
    <row r="1198" spans="1:9" x14ac:dyDescent="0.35">
      <c r="A1198" s="1" t="s">
        <v>804</v>
      </c>
      <c r="B1198" s="2">
        <v>40940</v>
      </c>
      <c r="C1198">
        <v>0.38</v>
      </c>
      <c r="D1198">
        <v>0.37</v>
      </c>
      <c r="E1198">
        <v>0.42</v>
      </c>
      <c r="F1198">
        <v>0.37</v>
      </c>
      <c r="G1198" s="1" t="s">
        <v>933</v>
      </c>
      <c r="H1198">
        <v>2.7E-2</v>
      </c>
      <c r="I1198" s="3">
        <f t="shared" si="18"/>
        <v>0</v>
      </c>
    </row>
    <row r="1199" spans="1:9" x14ac:dyDescent="0.35">
      <c r="A1199" s="1" t="s">
        <v>804</v>
      </c>
      <c r="B1199" s="2">
        <v>40969</v>
      </c>
      <c r="C1199">
        <v>0.38</v>
      </c>
      <c r="D1199">
        <v>0.38</v>
      </c>
      <c r="E1199">
        <v>0.39</v>
      </c>
      <c r="F1199">
        <v>0.36</v>
      </c>
      <c r="G1199" s="1" t="s">
        <v>932</v>
      </c>
      <c r="H1199">
        <v>0</v>
      </c>
      <c r="I1199" s="3">
        <f t="shared" si="18"/>
        <v>-0.13157894736842102</v>
      </c>
    </row>
    <row r="1200" spans="1:9" x14ac:dyDescent="0.35">
      <c r="A1200" s="1" t="s">
        <v>804</v>
      </c>
      <c r="B1200" s="2">
        <v>41000</v>
      </c>
      <c r="C1200">
        <v>0.33</v>
      </c>
      <c r="D1200">
        <v>0.38</v>
      </c>
      <c r="E1200">
        <v>0.39</v>
      </c>
      <c r="F1200">
        <v>0.32</v>
      </c>
      <c r="G1200" s="1" t="s">
        <v>862</v>
      </c>
      <c r="H1200">
        <v>-0.13159999999999999</v>
      </c>
      <c r="I1200" s="3">
        <f t="shared" si="18"/>
        <v>-6.0606060606060656E-2</v>
      </c>
    </row>
    <row r="1201" spans="1:9" x14ac:dyDescent="0.35">
      <c r="A1201" s="1" t="s">
        <v>804</v>
      </c>
      <c r="B1201" s="2">
        <v>41030</v>
      </c>
      <c r="C1201">
        <v>0.31</v>
      </c>
      <c r="D1201">
        <v>0.32</v>
      </c>
      <c r="E1201">
        <v>0.34</v>
      </c>
      <c r="F1201">
        <v>0.3</v>
      </c>
      <c r="G1201" s="1" t="s">
        <v>438</v>
      </c>
      <c r="H1201">
        <v>-6.0600000000000001E-2</v>
      </c>
      <c r="I1201" s="3">
        <f t="shared" si="18"/>
        <v>0.12903225806451607</v>
      </c>
    </row>
    <row r="1202" spans="1:9" x14ac:dyDescent="0.35">
      <c r="A1202" s="1" t="s">
        <v>804</v>
      </c>
      <c r="B1202" s="2">
        <v>41061</v>
      </c>
      <c r="C1202">
        <v>0.35</v>
      </c>
      <c r="D1202">
        <v>0.3</v>
      </c>
      <c r="E1202">
        <v>0.35</v>
      </c>
      <c r="F1202">
        <v>0.28999999999999998</v>
      </c>
      <c r="G1202" s="1" t="s">
        <v>931</v>
      </c>
      <c r="H1202">
        <v>0.129</v>
      </c>
      <c r="I1202" s="3">
        <f t="shared" si="18"/>
        <v>-2.8571428571428439E-2</v>
      </c>
    </row>
    <row r="1203" spans="1:9" x14ac:dyDescent="0.35">
      <c r="A1203" s="1" t="s">
        <v>804</v>
      </c>
      <c r="B1203" s="2">
        <v>41091</v>
      </c>
      <c r="C1203">
        <v>0.34</v>
      </c>
      <c r="D1203">
        <v>0.35</v>
      </c>
      <c r="E1203">
        <v>0.35</v>
      </c>
      <c r="F1203">
        <v>0.3</v>
      </c>
      <c r="G1203" s="1" t="s">
        <v>930</v>
      </c>
      <c r="H1203">
        <v>-2.86E-2</v>
      </c>
      <c r="I1203" s="3">
        <f t="shared" si="18"/>
        <v>2.9411764705882214E-2</v>
      </c>
    </row>
    <row r="1204" spans="1:9" x14ac:dyDescent="0.35">
      <c r="A1204" s="1" t="s">
        <v>804</v>
      </c>
      <c r="B1204" s="2">
        <v>41122</v>
      </c>
      <c r="C1204">
        <v>0.35</v>
      </c>
      <c r="D1204">
        <v>0.34</v>
      </c>
      <c r="E1204">
        <v>0.38</v>
      </c>
      <c r="F1204">
        <v>0.33</v>
      </c>
      <c r="G1204" s="1" t="s">
        <v>929</v>
      </c>
      <c r="H1204">
        <v>2.9399999999999999E-2</v>
      </c>
      <c r="I1204" s="3">
        <f t="shared" si="18"/>
        <v>-5.7142857142857037E-2</v>
      </c>
    </row>
    <row r="1205" spans="1:9" x14ac:dyDescent="0.35">
      <c r="A1205" s="1" t="s">
        <v>804</v>
      </c>
      <c r="B1205" s="2">
        <v>41153</v>
      </c>
      <c r="C1205">
        <v>0.33</v>
      </c>
      <c r="D1205">
        <v>0.34</v>
      </c>
      <c r="E1205">
        <v>0.35</v>
      </c>
      <c r="F1205">
        <v>0.32</v>
      </c>
      <c r="G1205" s="1" t="s">
        <v>928</v>
      </c>
      <c r="H1205">
        <v>-5.7099999999999998E-2</v>
      </c>
      <c r="I1205" s="3">
        <f t="shared" si="18"/>
        <v>-9.0909090909090981E-2</v>
      </c>
    </row>
    <row r="1206" spans="1:9" x14ac:dyDescent="0.35">
      <c r="A1206" s="1" t="s">
        <v>804</v>
      </c>
      <c r="B1206" s="2">
        <v>41183</v>
      </c>
      <c r="C1206">
        <v>0.3</v>
      </c>
      <c r="D1206">
        <v>0.34</v>
      </c>
      <c r="E1206">
        <v>0.34</v>
      </c>
      <c r="F1206">
        <v>0.3</v>
      </c>
      <c r="G1206" s="1" t="s">
        <v>901</v>
      </c>
      <c r="H1206">
        <v>-9.0899999999999995E-2</v>
      </c>
      <c r="I1206" s="3">
        <f t="shared" si="18"/>
        <v>0</v>
      </c>
    </row>
    <row r="1207" spans="1:9" x14ac:dyDescent="0.35">
      <c r="A1207" s="1" t="s">
        <v>804</v>
      </c>
      <c r="B1207" s="2">
        <v>41214</v>
      </c>
      <c r="C1207">
        <v>0.3</v>
      </c>
      <c r="D1207">
        <v>0.3</v>
      </c>
      <c r="E1207">
        <v>0.33</v>
      </c>
      <c r="F1207">
        <v>0.28000000000000003</v>
      </c>
      <c r="G1207" s="1" t="s">
        <v>466</v>
      </c>
      <c r="H1207">
        <v>0</v>
      </c>
      <c r="I1207" s="3">
        <f t="shared" si="18"/>
        <v>3.3333333333333368E-2</v>
      </c>
    </row>
    <row r="1208" spans="1:9" x14ac:dyDescent="0.35">
      <c r="A1208" s="1" t="s">
        <v>804</v>
      </c>
      <c r="B1208" s="2">
        <v>41244</v>
      </c>
      <c r="C1208">
        <v>0.31</v>
      </c>
      <c r="D1208">
        <v>0.3</v>
      </c>
      <c r="E1208">
        <v>0.32</v>
      </c>
      <c r="F1208">
        <v>0.28999999999999998</v>
      </c>
      <c r="G1208" s="1" t="s">
        <v>927</v>
      </c>
      <c r="H1208">
        <v>3.3300000000000003E-2</v>
      </c>
      <c r="I1208" s="3">
        <f t="shared" si="18"/>
        <v>0</v>
      </c>
    </row>
    <row r="1209" spans="1:9" x14ac:dyDescent="0.35">
      <c r="A1209" s="1" t="s">
        <v>804</v>
      </c>
      <c r="B1209" s="2">
        <v>41275</v>
      </c>
      <c r="C1209">
        <v>0.31</v>
      </c>
      <c r="D1209">
        <v>0.31</v>
      </c>
      <c r="E1209">
        <v>0.33</v>
      </c>
      <c r="F1209">
        <v>0.3</v>
      </c>
      <c r="G1209" s="1" t="s">
        <v>426</v>
      </c>
      <c r="H1209">
        <v>0</v>
      </c>
      <c r="I1209" s="3">
        <f t="shared" si="18"/>
        <v>3.2258064516129059E-2</v>
      </c>
    </row>
    <row r="1210" spans="1:9" x14ac:dyDescent="0.35">
      <c r="A1210" s="1" t="s">
        <v>804</v>
      </c>
      <c r="B1210" s="2">
        <v>41306</v>
      </c>
      <c r="C1210">
        <v>0.32</v>
      </c>
      <c r="D1210">
        <v>0.31</v>
      </c>
      <c r="E1210">
        <v>0.32</v>
      </c>
      <c r="F1210">
        <v>0.3</v>
      </c>
      <c r="G1210" s="1" t="s">
        <v>926</v>
      </c>
      <c r="H1210">
        <v>3.2300000000000002E-2</v>
      </c>
      <c r="I1210" s="3">
        <f t="shared" si="18"/>
        <v>0</v>
      </c>
    </row>
    <row r="1211" spans="1:9" x14ac:dyDescent="0.35">
      <c r="A1211" s="1" t="s">
        <v>804</v>
      </c>
      <c r="B1211" s="2">
        <v>41334</v>
      </c>
      <c r="C1211">
        <v>0.32</v>
      </c>
      <c r="D1211">
        <v>0.31</v>
      </c>
      <c r="E1211">
        <v>0.33</v>
      </c>
      <c r="F1211">
        <v>0.31</v>
      </c>
      <c r="G1211" s="1" t="s">
        <v>347</v>
      </c>
      <c r="H1211">
        <v>0</v>
      </c>
      <c r="I1211" s="3">
        <f t="shared" si="18"/>
        <v>6.2500000000000056E-2</v>
      </c>
    </row>
    <row r="1212" spans="1:9" x14ac:dyDescent="0.35">
      <c r="A1212" s="1" t="s">
        <v>804</v>
      </c>
      <c r="B1212" s="2">
        <v>41365</v>
      </c>
      <c r="C1212">
        <v>0.34</v>
      </c>
      <c r="D1212">
        <v>0.32</v>
      </c>
      <c r="E1212">
        <v>0.34</v>
      </c>
      <c r="F1212">
        <v>0.3</v>
      </c>
      <c r="G1212" s="1" t="s">
        <v>925</v>
      </c>
      <c r="H1212">
        <v>6.25E-2</v>
      </c>
      <c r="I1212" s="3">
        <f t="shared" si="18"/>
        <v>5.8823529411764594E-2</v>
      </c>
    </row>
    <row r="1213" spans="1:9" x14ac:dyDescent="0.35">
      <c r="A1213" s="1" t="s">
        <v>804</v>
      </c>
      <c r="B1213" s="2">
        <v>41395</v>
      </c>
      <c r="C1213">
        <v>0.36</v>
      </c>
      <c r="D1213">
        <v>0.34</v>
      </c>
      <c r="E1213">
        <v>0.37</v>
      </c>
      <c r="F1213">
        <v>0.34</v>
      </c>
      <c r="G1213" s="1" t="s">
        <v>924</v>
      </c>
      <c r="H1213">
        <v>5.8799999999999998E-2</v>
      </c>
      <c r="I1213" s="3">
        <f t="shared" si="18"/>
        <v>-2.7777777777777804E-2</v>
      </c>
    </row>
    <row r="1214" spans="1:9" x14ac:dyDescent="0.35">
      <c r="A1214" s="1" t="s">
        <v>804</v>
      </c>
      <c r="B1214" s="2">
        <v>41426</v>
      </c>
      <c r="C1214">
        <v>0.35</v>
      </c>
      <c r="D1214">
        <v>0.36</v>
      </c>
      <c r="E1214">
        <v>0.39</v>
      </c>
      <c r="F1214">
        <v>0.35</v>
      </c>
      <c r="G1214" s="1" t="s">
        <v>450</v>
      </c>
      <c r="H1214">
        <v>-2.7799999999999998E-2</v>
      </c>
      <c r="I1214" s="3">
        <f t="shared" si="18"/>
        <v>2.8571428571428598E-2</v>
      </c>
    </row>
    <row r="1215" spans="1:9" x14ac:dyDescent="0.35">
      <c r="A1215" s="1" t="s">
        <v>804</v>
      </c>
      <c r="B1215" s="2">
        <v>41456</v>
      </c>
      <c r="C1215">
        <v>0.36</v>
      </c>
      <c r="D1215">
        <v>0.35</v>
      </c>
      <c r="E1215">
        <v>0.37</v>
      </c>
      <c r="F1215">
        <v>0.35</v>
      </c>
      <c r="G1215" s="1" t="s">
        <v>419</v>
      </c>
      <c r="H1215">
        <v>2.86E-2</v>
      </c>
      <c r="I1215" s="3">
        <f t="shared" si="18"/>
        <v>2.7777777777777804E-2</v>
      </c>
    </row>
    <row r="1216" spans="1:9" x14ac:dyDescent="0.35">
      <c r="A1216" s="1" t="s">
        <v>804</v>
      </c>
      <c r="B1216" s="2">
        <v>41487</v>
      </c>
      <c r="C1216">
        <v>0.37</v>
      </c>
      <c r="D1216">
        <v>0.36</v>
      </c>
      <c r="E1216">
        <v>0.39</v>
      </c>
      <c r="F1216">
        <v>0.33</v>
      </c>
      <c r="G1216" s="1" t="s">
        <v>434</v>
      </c>
      <c r="H1216">
        <v>2.7799999999999998E-2</v>
      </c>
      <c r="I1216" s="3">
        <f t="shared" si="18"/>
        <v>5.4054054054054106E-2</v>
      </c>
    </row>
    <row r="1217" spans="1:9" x14ac:dyDescent="0.35">
      <c r="A1217" s="1" t="s">
        <v>804</v>
      </c>
      <c r="B1217" s="2">
        <v>41518</v>
      </c>
      <c r="C1217">
        <v>0.39</v>
      </c>
      <c r="D1217">
        <v>0.37</v>
      </c>
      <c r="E1217">
        <v>0.4</v>
      </c>
      <c r="F1217">
        <v>0.37</v>
      </c>
      <c r="G1217" s="1" t="s">
        <v>923</v>
      </c>
      <c r="H1217">
        <v>5.4100000000000002E-2</v>
      </c>
      <c r="I1217" s="3">
        <f t="shared" si="18"/>
        <v>-2.5641025641025664E-2</v>
      </c>
    </row>
    <row r="1218" spans="1:9" x14ac:dyDescent="0.35">
      <c r="A1218" s="1" t="s">
        <v>804</v>
      </c>
      <c r="B1218" s="2">
        <v>41548</v>
      </c>
      <c r="C1218">
        <v>0.38</v>
      </c>
      <c r="D1218">
        <v>0.39</v>
      </c>
      <c r="E1218">
        <v>0.4</v>
      </c>
      <c r="F1218">
        <v>0.38</v>
      </c>
      <c r="G1218" s="1" t="s">
        <v>340</v>
      </c>
      <c r="H1218">
        <v>-2.5600000000000001E-2</v>
      </c>
      <c r="I1218" s="3">
        <f t="shared" ref="I1218:I1281" si="19">IF(A1219=A1218, (C1219-C1218)/C1218, 0)</f>
        <v>2.6315789473684233E-2</v>
      </c>
    </row>
    <row r="1219" spans="1:9" x14ac:dyDescent="0.35">
      <c r="A1219" s="1" t="s">
        <v>804</v>
      </c>
      <c r="B1219" s="2">
        <v>41579</v>
      </c>
      <c r="C1219">
        <v>0.39</v>
      </c>
      <c r="D1219">
        <v>0.38</v>
      </c>
      <c r="E1219">
        <v>0.41</v>
      </c>
      <c r="F1219">
        <v>0.36</v>
      </c>
      <c r="G1219" s="1" t="s">
        <v>922</v>
      </c>
      <c r="H1219">
        <v>2.63E-2</v>
      </c>
      <c r="I1219" s="3">
        <f t="shared" si="19"/>
        <v>2.5641025641025664E-2</v>
      </c>
    </row>
    <row r="1220" spans="1:9" x14ac:dyDescent="0.35">
      <c r="A1220" s="1" t="s">
        <v>804</v>
      </c>
      <c r="B1220" s="2">
        <v>41609</v>
      </c>
      <c r="C1220">
        <v>0.4</v>
      </c>
      <c r="D1220">
        <v>0.39</v>
      </c>
      <c r="E1220">
        <v>0.4</v>
      </c>
      <c r="F1220">
        <v>0.37</v>
      </c>
      <c r="G1220" s="1" t="s">
        <v>921</v>
      </c>
      <c r="H1220">
        <v>2.5600000000000001E-2</v>
      </c>
      <c r="I1220" s="3">
        <f t="shared" si="19"/>
        <v>-2.5000000000000022E-2</v>
      </c>
    </row>
    <row r="1221" spans="1:9" x14ac:dyDescent="0.35">
      <c r="A1221" s="1" t="s">
        <v>804</v>
      </c>
      <c r="B1221" s="2">
        <v>41640</v>
      </c>
      <c r="C1221">
        <v>0.39</v>
      </c>
      <c r="D1221">
        <v>0.4</v>
      </c>
      <c r="E1221">
        <v>0.41</v>
      </c>
      <c r="F1221">
        <v>0.38</v>
      </c>
      <c r="G1221" s="1" t="s">
        <v>920</v>
      </c>
      <c r="H1221">
        <v>-2.5000000000000001E-2</v>
      </c>
      <c r="I1221" s="3">
        <f t="shared" si="19"/>
        <v>0.17948717948717949</v>
      </c>
    </row>
    <row r="1222" spans="1:9" x14ac:dyDescent="0.35">
      <c r="A1222" s="1" t="s">
        <v>804</v>
      </c>
      <c r="B1222" s="2">
        <v>41671</v>
      </c>
      <c r="C1222">
        <v>0.46</v>
      </c>
      <c r="D1222">
        <v>0.4</v>
      </c>
      <c r="E1222">
        <v>0.48</v>
      </c>
      <c r="F1222">
        <v>0.38</v>
      </c>
      <c r="G1222" s="1" t="s">
        <v>919</v>
      </c>
      <c r="H1222">
        <v>0.17949999999999999</v>
      </c>
      <c r="I1222" s="3">
        <f t="shared" si="19"/>
        <v>-2.1739130434782625E-2</v>
      </c>
    </row>
    <row r="1223" spans="1:9" x14ac:dyDescent="0.35">
      <c r="A1223" s="1" t="s">
        <v>804</v>
      </c>
      <c r="B1223" s="2">
        <v>41699</v>
      </c>
      <c r="C1223">
        <v>0.45</v>
      </c>
      <c r="D1223">
        <v>0.45</v>
      </c>
      <c r="E1223">
        <v>0.47</v>
      </c>
      <c r="F1223">
        <v>0.44</v>
      </c>
      <c r="G1223" s="1" t="s">
        <v>918</v>
      </c>
      <c r="H1223">
        <v>-2.1700000000000001E-2</v>
      </c>
      <c r="I1223" s="3">
        <f t="shared" si="19"/>
        <v>2.222222222222224E-2</v>
      </c>
    </row>
    <row r="1224" spans="1:9" x14ac:dyDescent="0.35">
      <c r="A1224" s="1" t="s">
        <v>804</v>
      </c>
      <c r="B1224" s="2">
        <v>41730</v>
      </c>
      <c r="C1224">
        <v>0.46</v>
      </c>
      <c r="D1224">
        <v>0.46</v>
      </c>
      <c r="E1224">
        <v>0.49</v>
      </c>
      <c r="F1224">
        <v>0.45</v>
      </c>
      <c r="G1224" s="1" t="s">
        <v>917</v>
      </c>
      <c r="H1224">
        <v>2.2200000000000001E-2</v>
      </c>
      <c r="I1224" s="3">
        <f t="shared" si="19"/>
        <v>2.1739130434782507E-2</v>
      </c>
    </row>
    <row r="1225" spans="1:9" x14ac:dyDescent="0.35">
      <c r="A1225" s="1" t="s">
        <v>804</v>
      </c>
      <c r="B1225" s="2">
        <v>41760</v>
      </c>
      <c r="C1225">
        <v>0.47</v>
      </c>
      <c r="D1225">
        <v>0.47</v>
      </c>
      <c r="E1225">
        <v>0.48</v>
      </c>
      <c r="F1225">
        <v>0.44</v>
      </c>
      <c r="G1225" s="1" t="s">
        <v>916</v>
      </c>
      <c r="H1225">
        <v>2.1700000000000001E-2</v>
      </c>
      <c r="I1225" s="3">
        <f t="shared" si="19"/>
        <v>-2.1276595744680753E-2</v>
      </c>
    </row>
    <row r="1226" spans="1:9" x14ac:dyDescent="0.35">
      <c r="A1226" s="1" t="s">
        <v>804</v>
      </c>
      <c r="B1226" s="2">
        <v>41791</v>
      </c>
      <c r="C1226">
        <v>0.46</v>
      </c>
      <c r="D1226">
        <v>0.48</v>
      </c>
      <c r="E1226">
        <v>0.49</v>
      </c>
      <c r="F1226">
        <v>0.46</v>
      </c>
      <c r="G1226" s="1" t="s">
        <v>915</v>
      </c>
      <c r="H1226">
        <v>-1.38E-2</v>
      </c>
      <c r="I1226" s="3">
        <f t="shared" si="19"/>
        <v>-4.3478260869565251E-2</v>
      </c>
    </row>
    <row r="1227" spans="1:9" x14ac:dyDescent="0.35">
      <c r="A1227" s="1" t="s">
        <v>804</v>
      </c>
      <c r="B1227" s="2">
        <v>41821</v>
      </c>
      <c r="C1227">
        <v>0.44</v>
      </c>
      <c r="D1227">
        <v>0.46</v>
      </c>
      <c r="E1227">
        <v>0.49</v>
      </c>
      <c r="F1227">
        <v>0.44</v>
      </c>
      <c r="G1227" s="1" t="s">
        <v>807</v>
      </c>
      <c r="H1227">
        <v>-5.6099999999999997E-2</v>
      </c>
      <c r="I1227" s="3">
        <f t="shared" si="19"/>
        <v>0.1136363636363636</v>
      </c>
    </row>
    <row r="1228" spans="1:9" x14ac:dyDescent="0.35">
      <c r="A1228" s="1" t="s">
        <v>804</v>
      </c>
      <c r="B1228" s="2">
        <v>41852</v>
      </c>
      <c r="C1228">
        <v>0.49</v>
      </c>
      <c r="D1228">
        <v>0.44</v>
      </c>
      <c r="E1228">
        <v>0.49</v>
      </c>
      <c r="F1228">
        <v>0.43</v>
      </c>
      <c r="G1228" s="1" t="s">
        <v>914</v>
      </c>
      <c r="H1228">
        <v>0.1114</v>
      </c>
      <c r="I1228" s="3">
        <f t="shared" si="19"/>
        <v>-6.122448979591831E-2</v>
      </c>
    </row>
    <row r="1229" spans="1:9" x14ac:dyDescent="0.35">
      <c r="A1229" s="1" t="s">
        <v>804</v>
      </c>
      <c r="B1229" s="2">
        <v>41883</v>
      </c>
      <c r="C1229">
        <v>0.46</v>
      </c>
      <c r="D1229">
        <v>0.49</v>
      </c>
      <c r="E1229">
        <v>0.5</v>
      </c>
      <c r="F1229">
        <v>0.46</v>
      </c>
      <c r="G1229" s="1" t="s">
        <v>913</v>
      </c>
      <c r="H1229">
        <v>-5.1400000000000001E-2</v>
      </c>
      <c r="I1229" s="3">
        <f t="shared" si="19"/>
        <v>6.5217391304347755E-2</v>
      </c>
    </row>
    <row r="1230" spans="1:9" x14ac:dyDescent="0.35">
      <c r="A1230" s="1" t="s">
        <v>804</v>
      </c>
      <c r="B1230" s="2">
        <v>41913</v>
      </c>
      <c r="C1230">
        <v>0.49</v>
      </c>
      <c r="D1230">
        <v>0.46</v>
      </c>
      <c r="E1230">
        <v>0.49</v>
      </c>
      <c r="F1230">
        <v>0.42</v>
      </c>
      <c r="G1230" s="1" t="s">
        <v>347</v>
      </c>
      <c r="H1230">
        <v>5.91E-2</v>
      </c>
      <c r="I1230" s="3">
        <f t="shared" si="19"/>
        <v>6.1224489795918421E-2</v>
      </c>
    </row>
    <row r="1231" spans="1:9" x14ac:dyDescent="0.35">
      <c r="A1231" s="1" t="s">
        <v>804</v>
      </c>
      <c r="B1231" s="2">
        <v>41944</v>
      </c>
      <c r="C1231">
        <v>0.52</v>
      </c>
      <c r="D1231">
        <v>0.5</v>
      </c>
      <c r="E1231">
        <v>0.53</v>
      </c>
      <c r="F1231">
        <v>0.48</v>
      </c>
      <c r="G1231" s="1" t="s">
        <v>343</v>
      </c>
      <c r="H1231">
        <v>7.3200000000000001E-2</v>
      </c>
      <c r="I1231" s="3">
        <f t="shared" si="19"/>
        <v>-3.8461538461538491E-2</v>
      </c>
    </row>
    <row r="1232" spans="1:9" x14ac:dyDescent="0.35">
      <c r="A1232" s="1" t="s">
        <v>804</v>
      </c>
      <c r="B1232" s="2">
        <v>41974</v>
      </c>
      <c r="C1232">
        <v>0.5</v>
      </c>
      <c r="D1232">
        <v>0.52</v>
      </c>
      <c r="E1232">
        <v>0.53</v>
      </c>
      <c r="F1232">
        <v>0.48</v>
      </c>
      <c r="G1232" s="1" t="s">
        <v>912</v>
      </c>
      <c r="H1232">
        <v>-4.3900000000000002E-2</v>
      </c>
      <c r="I1232" s="3">
        <f t="shared" si="19"/>
        <v>-4.0000000000000036E-2</v>
      </c>
    </row>
    <row r="1233" spans="1:9" x14ac:dyDescent="0.35">
      <c r="A1233" s="1" t="s">
        <v>804</v>
      </c>
      <c r="B1233" s="2">
        <v>42005</v>
      </c>
      <c r="C1233">
        <v>0.48</v>
      </c>
      <c r="D1233">
        <v>0.5</v>
      </c>
      <c r="E1233">
        <v>0.52</v>
      </c>
      <c r="F1233">
        <v>0.48</v>
      </c>
      <c r="G1233" s="1" t="s">
        <v>220</v>
      </c>
      <c r="H1233">
        <v>-4.2099999999999999E-2</v>
      </c>
      <c r="I1233" s="3">
        <f t="shared" si="19"/>
        <v>0.14583333333333348</v>
      </c>
    </row>
    <row r="1234" spans="1:9" x14ac:dyDescent="0.35">
      <c r="A1234" s="1" t="s">
        <v>804</v>
      </c>
      <c r="B1234" s="2">
        <v>42036</v>
      </c>
      <c r="C1234">
        <v>0.55000000000000004</v>
      </c>
      <c r="D1234">
        <v>0.48</v>
      </c>
      <c r="E1234">
        <v>0.56000000000000005</v>
      </c>
      <c r="F1234">
        <v>0.47</v>
      </c>
      <c r="G1234" s="1" t="s">
        <v>911</v>
      </c>
      <c r="H1234">
        <v>0.1487</v>
      </c>
      <c r="I1234" s="3">
        <f t="shared" si="19"/>
        <v>-5.4545454545454591E-2</v>
      </c>
    </row>
    <row r="1235" spans="1:9" x14ac:dyDescent="0.35">
      <c r="A1235" s="1" t="s">
        <v>804</v>
      </c>
      <c r="B1235" s="2">
        <v>42064</v>
      </c>
      <c r="C1235">
        <v>0.52</v>
      </c>
      <c r="D1235">
        <v>0.55000000000000004</v>
      </c>
      <c r="E1235">
        <v>0.59</v>
      </c>
      <c r="F1235">
        <v>0.51</v>
      </c>
      <c r="G1235" s="1" t="s">
        <v>910</v>
      </c>
      <c r="H1235">
        <v>-5.1499999999999997E-2</v>
      </c>
      <c r="I1235" s="3">
        <f t="shared" si="19"/>
        <v>5.7692307692307744E-2</v>
      </c>
    </row>
    <row r="1236" spans="1:9" x14ac:dyDescent="0.35">
      <c r="A1236" s="1" t="s">
        <v>804</v>
      </c>
      <c r="B1236" s="2">
        <v>42095</v>
      </c>
      <c r="C1236">
        <v>0.55000000000000004</v>
      </c>
      <c r="D1236">
        <v>0.53</v>
      </c>
      <c r="E1236">
        <v>0.56999999999999995</v>
      </c>
      <c r="F1236">
        <v>0.52</v>
      </c>
      <c r="G1236" s="1" t="s">
        <v>909</v>
      </c>
      <c r="H1236">
        <v>6.0699999999999997E-2</v>
      </c>
      <c r="I1236" s="3">
        <f t="shared" si="19"/>
        <v>0</v>
      </c>
    </row>
    <row r="1237" spans="1:9" x14ac:dyDescent="0.35">
      <c r="A1237" s="1" t="s">
        <v>804</v>
      </c>
      <c r="B1237" s="2">
        <v>42125</v>
      </c>
      <c r="C1237">
        <v>0.55000000000000004</v>
      </c>
      <c r="D1237">
        <v>0.56000000000000005</v>
      </c>
      <c r="E1237">
        <v>0.56999999999999995</v>
      </c>
      <c r="F1237">
        <v>0.51</v>
      </c>
      <c r="G1237" s="1" t="s">
        <v>908</v>
      </c>
      <c r="H1237">
        <v>0</v>
      </c>
      <c r="I1237" s="3">
        <f t="shared" si="19"/>
        <v>-9.0909090909090981E-2</v>
      </c>
    </row>
    <row r="1238" spans="1:9" x14ac:dyDescent="0.35">
      <c r="A1238" s="1" t="s">
        <v>804</v>
      </c>
      <c r="B1238" s="2">
        <v>42156</v>
      </c>
      <c r="C1238">
        <v>0.5</v>
      </c>
      <c r="D1238">
        <v>0.56000000000000005</v>
      </c>
      <c r="E1238">
        <v>0.56999999999999995</v>
      </c>
      <c r="F1238">
        <v>0.5</v>
      </c>
      <c r="G1238" s="1" t="s">
        <v>907</v>
      </c>
      <c r="H1238">
        <v>-9.1300000000000006E-2</v>
      </c>
      <c r="I1238" s="3">
        <f t="shared" si="19"/>
        <v>0</v>
      </c>
    </row>
    <row r="1239" spans="1:9" x14ac:dyDescent="0.35">
      <c r="A1239" s="1" t="s">
        <v>804</v>
      </c>
      <c r="B1239" s="2">
        <v>42186</v>
      </c>
      <c r="C1239">
        <v>0.5</v>
      </c>
      <c r="D1239">
        <v>0.52</v>
      </c>
      <c r="E1239">
        <v>0.52</v>
      </c>
      <c r="F1239">
        <v>0.48</v>
      </c>
      <c r="G1239" s="1" t="s">
        <v>906</v>
      </c>
      <c r="H1239">
        <v>0</v>
      </c>
      <c r="I1239" s="3">
        <f t="shared" si="19"/>
        <v>0.12000000000000011</v>
      </c>
    </row>
    <row r="1240" spans="1:9" x14ac:dyDescent="0.35">
      <c r="A1240" s="1" t="s">
        <v>804</v>
      </c>
      <c r="B1240" s="2">
        <v>42217</v>
      </c>
      <c r="C1240">
        <v>0.56000000000000005</v>
      </c>
      <c r="D1240">
        <v>0.5</v>
      </c>
      <c r="E1240">
        <v>0.6</v>
      </c>
      <c r="F1240">
        <v>0.5</v>
      </c>
      <c r="G1240" s="1" t="s">
        <v>905</v>
      </c>
      <c r="H1240">
        <v>0.1268</v>
      </c>
      <c r="I1240" s="3">
        <f t="shared" si="19"/>
        <v>0.10714285714285703</v>
      </c>
    </row>
    <row r="1241" spans="1:9" x14ac:dyDescent="0.35">
      <c r="A1241" s="1" t="s">
        <v>804</v>
      </c>
      <c r="B1241" s="2">
        <v>42248</v>
      </c>
      <c r="C1241">
        <v>0.62</v>
      </c>
      <c r="D1241">
        <v>0.55000000000000004</v>
      </c>
      <c r="E1241">
        <v>0.62</v>
      </c>
      <c r="F1241">
        <v>0.54</v>
      </c>
      <c r="G1241" s="1" t="s">
        <v>904</v>
      </c>
      <c r="H1241">
        <v>9.6500000000000002E-2</v>
      </c>
      <c r="I1241" s="3">
        <f t="shared" si="19"/>
        <v>0.1451612903225806</v>
      </c>
    </row>
    <row r="1242" spans="1:9" x14ac:dyDescent="0.35">
      <c r="A1242" s="1" t="s">
        <v>804</v>
      </c>
      <c r="B1242" s="2">
        <v>42278</v>
      </c>
      <c r="C1242">
        <v>0.71</v>
      </c>
      <c r="D1242">
        <v>0.62</v>
      </c>
      <c r="E1242">
        <v>0.72</v>
      </c>
      <c r="F1242">
        <v>0.59</v>
      </c>
      <c r="G1242" s="1" t="s">
        <v>903</v>
      </c>
      <c r="H1242">
        <v>0.15090000000000001</v>
      </c>
      <c r="I1242" s="3">
        <f t="shared" si="19"/>
        <v>0.11267605633802827</v>
      </c>
    </row>
    <row r="1243" spans="1:9" x14ac:dyDescent="0.35">
      <c r="A1243" s="1" t="s">
        <v>804</v>
      </c>
      <c r="B1243" s="2">
        <v>42309</v>
      </c>
      <c r="C1243">
        <v>0.79</v>
      </c>
      <c r="D1243">
        <v>0.71</v>
      </c>
      <c r="E1243">
        <v>0.8</v>
      </c>
      <c r="F1243">
        <v>0.69</v>
      </c>
      <c r="G1243" s="1" t="s">
        <v>902</v>
      </c>
      <c r="H1243">
        <v>0.1181</v>
      </c>
      <c r="I1243" s="3">
        <f t="shared" si="19"/>
        <v>3.7974683544303688E-2</v>
      </c>
    </row>
    <row r="1244" spans="1:9" x14ac:dyDescent="0.35">
      <c r="A1244" s="1" t="s">
        <v>804</v>
      </c>
      <c r="B1244" s="2">
        <v>42339</v>
      </c>
      <c r="C1244">
        <v>0.82</v>
      </c>
      <c r="D1244">
        <v>0.8</v>
      </c>
      <c r="E1244">
        <v>0.85</v>
      </c>
      <c r="F1244">
        <v>0.8</v>
      </c>
      <c r="G1244" s="1" t="s">
        <v>806</v>
      </c>
      <c r="H1244">
        <v>3.9100000000000003E-2</v>
      </c>
      <c r="I1244" s="3">
        <f t="shared" si="19"/>
        <v>-0.10975609756097558</v>
      </c>
    </row>
    <row r="1245" spans="1:9" x14ac:dyDescent="0.35">
      <c r="A1245" s="1" t="s">
        <v>804</v>
      </c>
      <c r="B1245" s="2">
        <v>42370</v>
      </c>
      <c r="C1245">
        <v>0.73</v>
      </c>
      <c r="D1245">
        <v>0.81</v>
      </c>
      <c r="E1245">
        <v>0.84</v>
      </c>
      <c r="F1245">
        <v>0.66</v>
      </c>
      <c r="G1245" s="1" t="s">
        <v>901</v>
      </c>
      <c r="H1245">
        <v>-0.1113</v>
      </c>
      <c r="I1245" s="3">
        <f t="shared" si="19"/>
        <v>6.8493150684931572E-2</v>
      </c>
    </row>
    <row r="1246" spans="1:9" x14ac:dyDescent="0.35">
      <c r="A1246" s="1" t="s">
        <v>804</v>
      </c>
      <c r="B1246" s="2">
        <v>42401</v>
      </c>
      <c r="C1246">
        <v>0.78</v>
      </c>
      <c r="D1246">
        <v>0.73</v>
      </c>
      <c r="E1246">
        <v>0.8</v>
      </c>
      <c r="F1246">
        <v>0.62</v>
      </c>
      <c r="G1246" s="1" t="s">
        <v>900</v>
      </c>
      <c r="H1246">
        <v>7.0699999999999999E-2</v>
      </c>
      <c r="I1246" s="3">
        <f t="shared" si="19"/>
        <v>0.141025641025641</v>
      </c>
    </row>
    <row r="1247" spans="1:9" x14ac:dyDescent="0.35">
      <c r="A1247" s="1" t="s">
        <v>804</v>
      </c>
      <c r="B1247" s="2">
        <v>42430</v>
      </c>
      <c r="C1247">
        <v>0.89</v>
      </c>
      <c r="D1247">
        <v>0.79</v>
      </c>
      <c r="E1247">
        <v>0.91</v>
      </c>
      <c r="F1247">
        <v>0.78</v>
      </c>
      <c r="G1247" s="1" t="s">
        <v>899</v>
      </c>
      <c r="H1247">
        <v>0.13619999999999999</v>
      </c>
      <c r="I1247" s="3">
        <f t="shared" si="19"/>
        <v>0</v>
      </c>
    </row>
    <row r="1248" spans="1:9" x14ac:dyDescent="0.35">
      <c r="A1248" s="1" t="s">
        <v>804</v>
      </c>
      <c r="B1248" s="2">
        <v>42461</v>
      </c>
      <c r="C1248">
        <v>0.89</v>
      </c>
      <c r="D1248">
        <v>0.89</v>
      </c>
      <c r="E1248">
        <v>0.94</v>
      </c>
      <c r="F1248">
        <v>0.87</v>
      </c>
      <c r="G1248" s="1" t="s">
        <v>898</v>
      </c>
      <c r="H1248">
        <v>0</v>
      </c>
      <c r="I1248" s="3">
        <f t="shared" si="19"/>
        <v>0.31460674157303359</v>
      </c>
    </row>
    <row r="1249" spans="1:9" x14ac:dyDescent="0.35">
      <c r="A1249" s="1" t="s">
        <v>804</v>
      </c>
      <c r="B1249" s="2">
        <v>42491</v>
      </c>
      <c r="C1249">
        <v>1.17</v>
      </c>
      <c r="D1249">
        <v>0.9</v>
      </c>
      <c r="E1249">
        <v>1.17</v>
      </c>
      <c r="F1249">
        <v>0.86</v>
      </c>
      <c r="G1249" s="1" t="s">
        <v>897</v>
      </c>
      <c r="H1249">
        <v>0.31490000000000001</v>
      </c>
      <c r="I1249" s="3">
        <f t="shared" si="19"/>
        <v>8.5470085470085548E-3</v>
      </c>
    </row>
    <row r="1250" spans="1:9" x14ac:dyDescent="0.35">
      <c r="A1250" s="1" t="s">
        <v>804</v>
      </c>
      <c r="B1250" s="2">
        <v>42522</v>
      </c>
      <c r="C1250">
        <v>1.18</v>
      </c>
      <c r="D1250">
        <v>1.1599999999999999</v>
      </c>
      <c r="E1250">
        <v>1.21</v>
      </c>
      <c r="F1250">
        <v>1.1100000000000001</v>
      </c>
      <c r="G1250" s="1" t="s">
        <v>896</v>
      </c>
      <c r="H1250">
        <v>6.1999999999999998E-3</v>
      </c>
      <c r="I1250" s="3">
        <f t="shared" si="19"/>
        <v>0.21186440677966104</v>
      </c>
    </row>
    <row r="1251" spans="1:9" x14ac:dyDescent="0.35">
      <c r="A1251" s="1" t="s">
        <v>804</v>
      </c>
      <c r="B1251" s="2">
        <v>42552</v>
      </c>
      <c r="C1251">
        <v>1.43</v>
      </c>
      <c r="D1251">
        <v>1.17</v>
      </c>
      <c r="E1251">
        <v>1.43</v>
      </c>
      <c r="F1251">
        <v>1.1499999999999999</v>
      </c>
      <c r="G1251" s="1" t="s">
        <v>895</v>
      </c>
      <c r="H1251">
        <v>0.21460000000000001</v>
      </c>
      <c r="I1251" s="3">
        <f t="shared" si="19"/>
        <v>6.9930069930069991E-2</v>
      </c>
    </row>
    <row r="1252" spans="1:9" x14ac:dyDescent="0.35">
      <c r="A1252" s="1" t="s">
        <v>804</v>
      </c>
      <c r="B1252" s="2">
        <v>42583</v>
      </c>
      <c r="C1252">
        <v>1.53</v>
      </c>
      <c r="D1252">
        <v>1.43</v>
      </c>
      <c r="E1252">
        <v>1.59</v>
      </c>
      <c r="F1252">
        <v>1.39</v>
      </c>
      <c r="G1252" s="1" t="s">
        <v>894</v>
      </c>
      <c r="H1252">
        <v>7.4300000000000005E-2</v>
      </c>
      <c r="I1252" s="3">
        <f t="shared" si="19"/>
        <v>0.11764705882352937</v>
      </c>
    </row>
    <row r="1253" spans="1:9" x14ac:dyDescent="0.35">
      <c r="A1253" s="1" t="s">
        <v>804</v>
      </c>
      <c r="B1253" s="2">
        <v>42614</v>
      </c>
      <c r="C1253">
        <v>1.71</v>
      </c>
      <c r="D1253">
        <v>1.53</v>
      </c>
      <c r="E1253">
        <v>1.73</v>
      </c>
      <c r="F1253">
        <v>1.43</v>
      </c>
      <c r="G1253" s="1" t="s">
        <v>893</v>
      </c>
      <c r="H1253">
        <v>0.1171</v>
      </c>
      <c r="I1253" s="3">
        <f t="shared" si="19"/>
        <v>4.0935672514619922E-2</v>
      </c>
    </row>
    <row r="1254" spans="1:9" x14ac:dyDescent="0.35">
      <c r="A1254" s="1" t="s">
        <v>804</v>
      </c>
      <c r="B1254" s="2">
        <v>42644</v>
      </c>
      <c r="C1254">
        <v>1.78</v>
      </c>
      <c r="D1254">
        <v>1.71</v>
      </c>
      <c r="E1254">
        <v>1.82</v>
      </c>
      <c r="F1254">
        <v>1.59</v>
      </c>
      <c r="G1254" s="1" t="s">
        <v>892</v>
      </c>
      <c r="H1254">
        <v>3.85E-2</v>
      </c>
      <c r="I1254" s="3">
        <f t="shared" si="19"/>
        <v>0.29775280898876405</v>
      </c>
    </row>
    <row r="1255" spans="1:9" x14ac:dyDescent="0.35">
      <c r="A1255" s="1" t="s">
        <v>804</v>
      </c>
      <c r="B1255" s="2">
        <v>42675</v>
      </c>
      <c r="C1255">
        <v>2.31</v>
      </c>
      <c r="D1255">
        <v>1.79</v>
      </c>
      <c r="E1255">
        <v>2.38</v>
      </c>
      <c r="F1255">
        <v>1.66</v>
      </c>
      <c r="G1255" s="1" t="s">
        <v>891</v>
      </c>
      <c r="H1255">
        <v>0.29570000000000002</v>
      </c>
      <c r="I1255" s="3">
        <f t="shared" si="19"/>
        <v>0.15584415584415579</v>
      </c>
    </row>
    <row r="1256" spans="1:9" x14ac:dyDescent="0.35">
      <c r="A1256" s="1" t="s">
        <v>804</v>
      </c>
      <c r="B1256" s="2">
        <v>42705</v>
      </c>
      <c r="C1256">
        <v>2.67</v>
      </c>
      <c r="D1256">
        <v>2.2999999999999998</v>
      </c>
      <c r="E1256">
        <v>3</v>
      </c>
      <c r="F1256">
        <v>2.12</v>
      </c>
      <c r="G1256" s="1" t="s">
        <v>458</v>
      </c>
      <c r="H1256">
        <v>0.15770000000000001</v>
      </c>
      <c r="I1256" s="3">
        <f t="shared" si="19"/>
        <v>2.2471910112359571E-2</v>
      </c>
    </row>
    <row r="1257" spans="1:9" x14ac:dyDescent="0.35">
      <c r="A1257" s="1" t="s">
        <v>804</v>
      </c>
      <c r="B1257" s="2">
        <v>42736</v>
      </c>
      <c r="C1257">
        <v>2.73</v>
      </c>
      <c r="D1257">
        <v>2.61</v>
      </c>
      <c r="E1257">
        <v>2.8</v>
      </c>
      <c r="F1257">
        <v>2.48</v>
      </c>
      <c r="G1257" s="1" t="s">
        <v>890</v>
      </c>
      <c r="H1257">
        <v>2.29E-2</v>
      </c>
      <c r="I1257" s="3">
        <f t="shared" si="19"/>
        <v>-6.9597069597069572E-2</v>
      </c>
    </row>
    <row r="1258" spans="1:9" x14ac:dyDescent="0.35">
      <c r="A1258" s="1" t="s">
        <v>804</v>
      </c>
      <c r="B1258" s="2">
        <v>42767</v>
      </c>
      <c r="C1258">
        <v>2.54</v>
      </c>
      <c r="D1258">
        <v>2.76</v>
      </c>
      <c r="E1258">
        <v>3.02</v>
      </c>
      <c r="F1258">
        <v>2.39</v>
      </c>
      <c r="G1258" s="1" t="s">
        <v>889</v>
      </c>
      <c r="H1258">
        <v>-7.0499999999999993E-2</v>
      </c>
      <c r="I1258" s="3">
        <f t="shared" si="19"/>
        <v>7.0866141732283533E-2</v>
      </c>
    </row>
    <row r="1259" spans="1:9" x14ac:dyDescent="0.35">
      <c r="A1259" s="1" t="s">
        <v>804</v>
      </c>
      <c r="B1259" s="2">
        <v>42795</v>
      </c>
      <c r="C1259">
        <v>2.72</v>
      </c>
      <c r="D1259">
        <v>2.59</v>
      </c>
      <c r="E1259">
        <v>2.75</v>
      </c>
      <c r="F1259">
        <v>2.38</v>
      </c>
      <c r="G1259" s="1" t="s">
        <v>888</v>
      </c>
      <c r="H1259">
        <v>7.3400000000000007E-2</v>
      </c>
      <c r="I1259" s="3">
        <f t="shared" si="19"/>
        <v>-4.0441176470588348E-2</v>
      </c>
    </row>
    <row r="1260" spans="1:9" x14ac:dyDescent="0.35">
      <c r="A1260" s="1" t="s">
        <v>804</v>
      </c>
      <c r="B1260" s="2">
        <v>42826</v>
      </c>
      <c r="C1260">
        <v>2.61</v>
      </c>
      <c r="D1260">
        <v>2.72</v>
      </c>
      <c r="E1260">
        <v>2.74</v>
      </c>
      <c r="F1260">
        <v>2.39</v>
      </c>
      <c r="G1260" s="1" t="s">
        <v>887</v>
      </c>
      <c r="H1260">
        <v>-4.2500000000000003E-2</v>
      </c>
      <c r="I1260" s="3">
        <f t="shared" si="19"/>
        <v>0.38314176245210729</v>
      </c>
    </row>
    <row r="1261" spans="1:9" x14ac:dyDescent="0.35">
      <c r="A1261" s="1" t="s">
        <v>804</v>
      </c>
      <c r="B1261" s="2">
        <v>42856</v>
      </c>
      <c r="C1261">
        <v>3.61</v>
      </c>
      <c r="D1261">
        <v>2.62</v>
      </c>
      <c r="E1261">
        <v>3.67</v>
      </c>
      <c r="F1261">
        <v>2.56</v>
      </c>
      <c r="G1261" s="1" t="s">
        <v>886</v>
      </c>
      <c r="H1261">
        <v>0.38400000000000001</v>
      </c>
      <c r="I1261" s="3">
        <f t="shared" si="19"/>
        <v>0</v>
      </c>
    </row>
    <row r="1262" spans="1:9" x14ac:dyDescent="0.35">
      <c r="A1262" s="1" t="s">
        <v>804</v>
      </c>
      <c r="B1262" s="2">
        <v>42887</v>
      </c>
      <c r="C1262">
        <v>3.61</v>
      </c>
      <c r="D1262">
        <v>3.62</v>
      </c>
      <c r="E1262">
        <v>4.21</v>
      </c>
      <c r="F1262">
        <v>3.55</v>
      </c>
      <c r="G1262" s="1" t="s">
        <v>885</v>
      </c>
      <c r="H1262">
        <v>1.5E-3</v>
      </c>
      <c r="I1262" s="3">
        <f t="shared" si="19"/>
        <v>0.1246537396121883</v>
      </c>
    </row>
    <row r="1263" spans="1:9" x14ac:dyDescent="0.35">
      <c r="A1263" s="1" t="s">
        <v>804</v>
      </c>
      <c r="B1263" s="2">
        <v>42917</v>
      </c>
      <c r="C1263">
        <v>4.0599999999999996</v>
      </c>
      <c r="D1263">
        <v>3.63</v>
      </c>
      <c r="E1263">
        <v>4.25</v>
      </c>
      <c r="F1263">
        <v>3.46</v>
      </c>
      <c r="G1263" s="1" t="s">
        <v>884</v>
      </c>
      <c r="H1263">
        <v>0.1242</v>
      </c>
      <c r="I1263" s="3">
        <f t="shared" si="19"/>
        <v>4.4334975369458282E-2</v>
      </c>
    </row>
    <row r="1264" spans="1:9" x14ac:dyDescent="0.35">
      <c r="A1264" s="1" t="s">
        <v>804</v>
      </c>
      <c r="B1264" s="2">
        <v>42948</v>
      </c>
      <c r="C1264">
        <v>4.24</v>
      </c>
      <c r="D1264">
        <v>4.05</v>
      </c>
      <c r="E1264">
        <v>4.3600000000000003</v>
      </c>
      <c r="F1264">
        <v>3.82</v>
      </c>
      <c r="G1264" s="1" t="s">
        <v>518</v>
      </c>
      <c r="H1264">
        <v>4.2599999999999999E-2</v>
      </c>
      <c r="I1264" s="3">
        <f t="shared" si="19"/>
        <v>5.4245283018867815E-2</v>
      </c>
    </row>
    <row r="1265" spans="1:9" x14ac:dyDescent="0.35">
      <c r="A1265" s="1" t="s">
        <v>804</v>
      </c>
      <c r="B1265" s="2">
        <v>42979</v>
      </c>
      <c r="C1265">
        <v>4.47</v>
      </c>
      <c r="D1265">
        <v>4.25</v>
      </c>
      <c r="E1265">
        <v>4.78</v>
      </c>
      <c r="F1265">
        <v>4.07</v>
      </c>
      <c r="G1265" s="1" t="s">
        <v>883</v>
      </c>
      <c r="H1265">
        <v>5.5100000000000003E-2</v>
      </c>
      <c r="I1265" s="3">
        <f t="shared" si="19"/>
        <v>0.156599552572707</v>
      </c>
    </row>
    <row r="1266" spans="1:9" x14ac:dyDescent="0.35">
      <c r="A1266" s="1" t="s">
        <v>804</v>
      </c>
      <c r="B1266" s="2">
        <v>43009</v>
      </c>
      <c r="C1266">
        <v>5.17</v>
      </c>
      <c r="D1266">
        <v>4.5199999999999996</v>
      </c>
      <c r="E1266">
        <v>5.2</v>
      </c>
      <c r="F1266">
        <v>4.43</v>
      </c>
      <c r="G1266" s="1" t="s">
        <v>882</v>
      </c>
      <c r="H1266">
        <v>0.15679999999999999</v>
      </c>
      <c r="I1266" s="3">
        <f t="shared" si="19"/>
        <v>-2.9013539651837592E-2</v>
      </c>
    </row>
    <row r="1267" spans="1:9" x14ac:dyDescent="0.35">
      <c r="A1267" s="1" t="s">
        <v>804</v>
      </c>
      <c r="B1267" s="2">
        <v>43040</v>
      </c>
      <c r="C1267">
        <v>5.0199999999999996</v>
      </c>
      <c r="D1267">
        <v>5.23</v>
      </c>
      <c r="E1267">
        <v>5.47</v>
      </c>
      <c r="F1267">
        <v>4.78</v>
      </c>
      <c r="G1267" s="1" t="s">
        <v>881</v>
      </c>
      <c r="H1267">
        <v>-2.9499999999999998E-2</v>
      </c>
      <c r="I1267" s="3">
        <f t="shared" si="19"/>
        <v>-3.585657370517923E-2</v>
      </c>
    </row>
    <row r="1268" spans="1:9" x14ac:dyDescent="0.35">
      <c r="A1268" s="1" t="s">
        <v>804</v>
      </c>
      <c r="B1268" s="2">
        <v>43070</v>
      </c>
      <c r="C1268">
        <v>4.84</v>
      </c>
      <c r="D1268">
        <v>4.9800000000000004</v>
      </c>
      <c r="E1268">
        <v>5.01</v>
      </c>
      <c r="F1268">
        <v>4.51</v>
      </c>
      <c r="G1268" s="1" t="s">
        <v>880</v>
      </c>
      <c r="H1268">
        <v>-3.5900000000000001E-2</v>
      </c>
      <c r="I1268" s="3">
        <f t="shared" si="19"/>
        <v>0.26859504132231404</v>
      </c>
    </row>
    <row r="1269" spans="1:9" x14ac:dyDescent="0.35">
      <c r="A1269" s="1" t="s">
        <v>804</v>
      </c>
      <c r="B1269" s="2">
        <v>43101</v>
      </c>
      <c r="C1269">
        <v>6.14</v>
      </c>
      <c r="D1269">
        <v>4.8899999999999997</v>
      </c>
      <c r="E1269">
        <v>6.23</v>
      </c>
      <c r="F1269">
        <v>4.8600000000000003</v>
      </c>
      <c r="G1269" s="1" t="s">
        <v>879</v>
      </c>
      <c r="H1269">
        <v>0.27029999999999998</v>
      </c>
      <c r="I1269" s="3">
        <f t="shared" si="19"/>
        <v>-1.4657980456026036E-2</v>
      </c>
    </row>
    <row r="1270" spans="1:9" x14ac:dyDescent="0.35">
      <c r="A1270" s="1" t="s">
        <v>804</v>
      </c>
      <c r="B1270" s="2">
        <v>43132</v>
      </c>
      <c r="C1270">
        <v>6.05</v>
      </c>
      <c r="D1270">
        <v>5.96</v>
      </c>
      <c r="E1270">
        <v>6.3</v>
      </c>
      <c r="F1270">
        <v>5.0999999999999996</v>
      </c>
      <c r="G1270" s="1" t="s">
        <v>878</v>
      </c>
      <c r="H1270">
        <v>-1.55E-2</v>
      </c>
      <c r="I1270" s="3">
        <f t="shared" si="19"/>
        <v>-4.2975206611570213E-2</v>
      </c>
    </row>
    <row r="1271" spans="1:9" x14ac:dyDescent="0.35">
      <c r="A1271" s="1" t="s">
        <v>804</v>
      </c>
      <c r="B1271" s="2">
        <v>43160</v>
      </c>
      <c r="C1271">
        <v>5.79</v>
      </c>
      <c r="D1271">
        <v>6.05</v>
      </c>
      <c r="E1271">
        <v>6.36</v>
      </c>
      <c r="F1271">
        <v>5.43</v>
      </c>
      <c r="G1271" s="1" t="s">
        <v>877</v>
      </c>
      <c r="H1271">
        <v>-4.2999999999999997E-2</v>
      </c>
      <c r="I1271" s="3">
        <f t="shared" si="19"/>
        <v>-2.936096718480137E-2</v>
      </c>
    </row>
    <row r="1272" spans="1:9" x14ac:dyDescent="0.35">
      <c r="A1272" s="1" t="s">
        <v>804</v>
      </c>
      <c r="B1272" s="2">
        <v>43191</v>
      </c>
      <c r="C1272">
        <v>5.62</v>
      </c>
      <c r="D1272">
        <v>5.72</v>
      </c>
      <c r="E1272">
        <v>5.98</v>
      </c>
      <c r="F1272">
        <v>5.26</v>
      </c>
      <c r="G1272" s="1" t="s">
        <v>876</v>
      </c>
      <c r="H1272">
        <v>-2.8899999999999999E-2</v>
      </c>
      <c r="I1272" s="3">
        <f t="shared" si="19"/>
        <v>0.12099644128113873</v>
      </c>
    </row>
    <row r="1273" spans="1:9" x14ac:dyDescent="0.35">
      <c r="A1273" s="1" t="s">
        <v>804</v>
      </c>
      <c r="B1273" s="2">
        <v>43221</v>
      </c>
      <c r="C1273">
        <v>6.3</v>
      </c>
      <c r="D1273">
        <v>5.61</v>
      </c>
      <c r="E1273">
        <v>6.51</v>
      </c>
      <c r="F1273">
        <v>5.55</v>
      </c>
      <c r="G1273" s="1" t="s">
        <v>443</v>
      </c>
      <c r="H1273">
        <v>0.12130000000000001</v>
      </c>
      <c r="I1273" s="3">
        <f t="shared" si="19"/>
        <v>-6.0317460317460304E-2</v>
      </c>
    </row>
    <row r="1274" spans="1:9" x14ac:dyDescent="0.35">
      <c r="A1274" s="1" t="s">
        <v>804</v>
      </c>
      <c r="B1274" s="2">
        <v>43252</v>
      </c>
      <c r="C1274">
        <v>5.92</v>
      </c>
      <c r="D1274">
        <v>6.35</v>
      </c>
      <c r="E1274">
        <v>6.73</v>
      </c>
      <c r="F1274">
        <v>5.88</v>
      </c>
      <c r="G1274" s="1" t="s">
        <v>875</v>
      </c>
      <c r="H1274">
        <v>-6.0600000000000001E-2</v>
      </c>
      <c r="I1274" s="3">
        <f t="shared" si="19"/>
        <v>3.3783783783783813E-2</v>
      </c>
    </row>
    <row r="1275" spans="1:9" x14ac:dyDescent="0.35">
      <c r="A1275" s="1" t="s">
        <v>804</v>
      </c>
      <c r="B1275" s="2">
        <v>43282</v>
      </c>
      <c r="C1275">
        <v>6.12</v>
      </c>
      <c r="D1275">
        <v>5.85</v>
      </c>
      <c r="E1275">
        <v>6.41</v>
      </c>
      <c r="F1275">
        <v>5.83</v>
      </c>
      <c r="G1275" s="1" t="s">
        <v>874</v>
      </c>
      <c r="H1275">
        <v>3.3599999999999998E-2</v>
      </c>
      <c r="I1275" s="3">
        <f t="shared" si="19"/>
        <v>0.14705882352941169</v>
      </c>
    </row>
    <row r="1276" spans="1:9" x14ac:dyDescent="0.35">
      <c r="A1276" s="1" t="s">
        <v>804</v>
      </c>
      <c r="B1276" s="2">
        <v>43313</v>
      </c>
      <c r="C1276">
        <v>7.02</v>
      </c>
      <c r="D1276">
        <v>6.15</v>
      </c>
      <c r="E1276">
        <v>7.04</v>
      </c>
      <c r="F1276">
        <v>5.97</v>
      </c>
      <c r="G1276" s="1" t="s">
        <v>873</v>
      </c>
      <c r="H1276">
        <v>0.14630000000000001</v>
      </c>
      <c r="I1276" s="3">
        <f t="shared" si="19"/>
        <v>1.4245014245015208E-3</v>
      </c>
    </row>
    <row r="1277" spans="1:9" x14ac:dyDescent="0.35">
      <c r="A1277" s="1" t="s">
        <v>804</v>
      </c>
      <c r="B1277" s="2">
        <v>43344</v>
      </c>
      <c r="C1277">
        <v>7.03</v>
      </c>
      <c r="D1277">
        <v>7</v>
      </c>
      <c r="E1277">
        <v>7.13</v>
      </c>
      <c r="F1277">
        <v>6.47</v>
      </c>
      <c r="G1277" s="1" t="s">
        <v>872</v>
      </c>
      <c r="H1277">
        <v>1.1999999999999999E-3</v>
      </c>
      <c r="I1277" s="3">
        <f t="shared" si="19"/>
        <v>-0.25035561877667151</v>
      </c>
    </row>
    <row r="1278" spans="1:9" x14ac:dyDescent="0.35">
      <c r="A1278" s="1" t="s">
        <v>804</v>
      </c>
      <c r="B1278" s="2">
        <v>43374</v>
      </c>
      <c r="C1278">
        <v>5.27</v>
      </c>
      <c r="D1278">
        <v>7.1</v>
      </c>
      <c r="E1278">
        <v>7.32</v>
      </c>
      <c r="F1278">
        <v>4.4000000000000004</v>
      </c>
      <c r="G1278" s="1" t="s">
        <v>871</v>
      </c>
      <c r="H1278">
        <v>-0.24979999999999999</v>
      </c>
      <c r="I1278" s="3">
        <f t="shared" si="19"/>
        <v>-0.22390891840607208</v>
      </c>
    </row>
    <row r="1279" spans="1:9" x14ac:dyDescent="0.35">
      <c r="A1279" s="1" t="s">
        <v>804</v>
      </c>
      <c r="B1279" s="2">
        <v>43405</v>
      </c>
      <c r="C1279">
        <v>4.09</v>
      </c>
      <c r="D1279">
        <v>5.31</v>
      </c>
      <c r="E1279">
        <v>5.55</v>
      </c>
      <c r="F1279">
        <v>3.33</v>
      </c>
      <c r="G1279" s="1" t="s">
        <v>870</v>
      </c>
      <c r="H1279">
        <v>-0.2248</v>
      </c>
      <c r="I1279" s="3">
        <f t="shared" si="19"/>
        <v>-0.18337408312958436</v>
      </c>
    </row>
    <row r="1280" spans="1:9" x14ac:dyDescent="0.35">
      <c r="A1280" s="1" t="s">
        <v>804</v>
      </c>
      <c r="B1280" s="2">
        <v>43435</v>
      </c>
      <c r="C1280">
        <v>3.34</v>
      </c>
      <c r="D1280">
        <v>4.32</v>
      </c>
      <c r="E1280">
        <v>4.37</v>
      </c>
      <c r="F1280">
        <v>3.11</v>
      </c>
      <c r="G1280" s="1" t="s">
        <v>869</v>
      </c>
      <c r="H1280">
        <v>-0.18310000000000001</v>
      </c>
      <c r="I1280" s="3">
        <f t="shared" si="19"/>
        <v>7.4850299401197612E-2</v>
      </c>
    </row>
    <row r="1281" spans="1:9" x14ac:dyDescent="0.35">
      <c r="A1281" s="1" t="s">
        <v>804</v>
      </c>
      <c r="B1281" s="2">
        <v>43466</v>
      </c>
      <c r="C1281">
        <v>3.59</v>
      </c>
      <c r="D1281">
        <v>3.27</v>
      </c>
      <c r="E1281">
        <v>4.0199999999999996</v>
      </c>
      <c r="F1281">
        <v>3.19</v>
      </c>
      <c r="G1281" s="1" t="s">
        <v>868</v>
      </c>
      <c r="H1281">
        <v>7.6799999999999993E-2</v>
      </c>
      <c r="I1281" s="3">
        <f t="shared" si="19"/>
        <v>7.5208913649025072E-2</v>
      </c>
    </row>
    <row r="1282" spans="1:9" x14ac:dyDescent="0.35">
      <c r="A1282" s="1" t="s">
        <v>804</v>
      </c>
      <c r="B1282" s="2">
        <v>43497</v>
      </c>
      <c r="C1282">
        <v>3.86</v>
      </c>
      <c r="D1282">
        <v>3.61</v>
      </c>
      <c r="E1282">
        <v>4.13</v>
      </c>
      <c r="F1282">
        <v>3.56</v>
      </c>
      <c r="G1282" s="1" t="s">
        <v>867</v>
      </c>
      <c r="H1282">
        <v>7.3099999999999998E-2</v>
      </c>
      <c r="I1282" s="3">
        <f t="shared" ref="I1282:I1345" si="20">IF(A1283=A1282, (C1283-C1282)/C1282, 0)</f>
        <v>0.1632124352331607</v>
      </c>
    </row>
    <row r="1283" spans="1:9" x14ac:dyDescent="0.35">
      <c r="A1283" s="1" t="s">
        <v>804</v>
      </c>
      <c r="B1283" s="2">
        <v>43525</v>
      </c>
      <c r="C1283">
        <v>4.49</v>
      </c>
      <c r="D1283">
        <v>3.91</v>
      </c>
      <c r="E1283">
        <v>4.63</v>
      </c>
      <c r="F1283">
        <v>3.62</v>
      </c>
      <c r="G1283" s="1" t="s">
        <v>830</v>
      </c>
      <c r="H1283">
        <v>0.16400000000000001</v>
      </c>
      <c r="I1283" s="3">
        <f t="shared" si="20"/>
        <v>8.9086859688196074E-3</v>
      </c>
    </row>
    <row r="1284" spans="1:9" x14ac:dyDescent="0.35">
      <c r="A1284" s="1" t="s">
        <v>804</v>
      </c>
      <c r="B1284" s="2">
        <v>43556</v>
      </c>
      <c r="C1284">
        <v>4.53</v>
      </c>
      <c r="D1284">
        <v>4.58</v>
      </c>
      <c r="E1284">
        <v>4.84</v>
      </c>
      <c r="F1284">
        <v>4.33</v>
      </c>
      <c r="G1284" s="1" t="s">
        <v>866</v>
      </c>
      <c r="H1284">
        <v>8.0000000000000002E-3</v>
      </c>
      <c r="I1284" s="3">
        <f t="shared" si="20"/>
        <v>-0.25165562913907286</v>
      </c>
    </row>
    <row r="1285" spans="1:9" x14ac:dyDescent="0.35">
      <c r="A1285" s="1" t="s">
        <v>804</v>
      </c>
      <c r="B1285" s="2">
        <v>43586</v>
      </c>
      <c r="C1285">
        <v>3.39</v>
      </c>
      <c r="D1285">
        <v>4.58</v>
      </c>
      <c r="E1285">
        <v>4.62</v>
      </c>
      <c r="F1285">
        <v>3.38</v>
      </c>
      <c r="G1285" s="1" t="s">
        <v>865</v>
      </c>
      <c r="H1285">
        <v>-0.25159999999999999</v>
      </c>
      <c r="I1285" s="3">
        <f t="shared" si="20"/>
        <v>0.2123893805309735</v>
      </c>
    </row>
    <row r="1286" spans="1:9" x14ac:dyDescent="0.35">
      <c r="A1286" s="1" t="s">
        <v>804</v>
      </c>
      <c r="B1286" s="2">
        <v>43617</v>
      </c>
      <c r="C1286">
        <v>4.1100000000000003</v>
      </c>
      <c r="D1286">
        <v>3.4</v>
      </c>
      <c r="E1286">
        <v>4.13</v>
      </c>
      <c r="F1286">
        <v>3.32</v>
      </c>
      <c r="G1286" s="1" t="s">
        <v>864</v>
      </c>
      <c r="H1286">
        <v>0.21240000000000001</v>
      </c>
      <c r="I1286" s="3">
        <f t="shared" si="20"/>
        <v>2.6763990267639762E-2</v>
      </c>
    </row>
    <row r="1287" spans="1:9" x14ac:dyDescent="0.35">
      <c r="A1287" s="1" t="s">
        <v>804</v>
      </c>
      <c r="B1287" s="2">
        <v>43647</v>
      </c>
      <c r="C1287">
        <v>4.22</v>
      </c>
      <c r="D1287">
        <v>4.3099999999999996</v>
      </c>
      <c r="E1287">
        <v>4.47</v>
      </c>
      <c r="F1287">
        <v>3.88</v>
      </c>
      <c r="G1287" s="1" t="s">
        <v>863</v>
      </c>
      <c r="H1287">
        <v>2.7300000000000001E-2</v>
      </c>
      <c r="I1287" s="3">
        <f t="shared" si="20"/>
        <v>-7.1090047393363416E-3</v>
      </c>
    </row>
    <row r="1288" spans="1:9" x14ac:dyDescent="0.35">
      <c r="A1288" s="1" t="s">
        <v>804</v>
      </c>
      <c r="B1288" s="2">
        <v>43678</v>
      </c>
      <c r="C1288">
        <v>4.1900000000000004</v>
      </c>
      <c r="D1288">
        <v>4.2300000000000004</v>
      </c>
      <c r="E1288">
        <v>4.34</v>
      </c>
      <c r="F1288">
        <v>3.68</v>
      </c>
      <c r="G1288" s="1" t="s">
        <v>862</v>
      </c>
      <c r="H1288">
        <v>-7.1999999999999998E-3</v>
      </c>
      <c r="I1288" s="3">
        <f t="shared" si="20"/>
        <v>3.8186157517899583E-2</v>
      </c>
    </row>
    <row r="1289" spans="1:9" x14ac:dyDescent="0.35">
      <c r="A1289" s="1" t="s">
        <v>804</v>
      </c>
      <c r="B1289" s="2">
        <v>43709</v>
      </c>
      <c r="C1289">
        <v>4.3499999999999996</v>
      </c>
      <c r="D1289">
        <v>4.1100000000000003</v>
      </c>
      <c r="E1289">
        <v>4.71</v>
      </c>
      <c r="F1289">
        <v>4.08</v>
      </c>
      <c r="G1289" s="1" t="s">
        <v>809</v>
      </c>
      <c r="H1289">
        <v>3.9199999999999999E-2</v>
      </c>
      <c r="I1289" s="3">
        <f t="shared" si="20"/>
        <v>0.15632183908045993</v>
      </c>
    </row>
    <row r="1290" spans="1:9" x14ac:dyDescent="0.35">
      <c r="A1290" s="1" t="s">
        <v>804</v>
      </c>
      <c r="B1290" s="2">
        <v>43739</v>
      </c>
      <c r="C1290">
        <v>5.03</v>
      </c>
      <c r="D1290">
        <v>4.38</v>
      </c>
      <c r="E1290">
        <v>5.22</v>
      </c>
      <c r="F1290">
        <v>4.25</v>
      </c>
      <c r="G1290" s="1" t="s">
        <v>861</v>
      </c>
      <c r="H1290">
        <v>0.15479999999999999</v>
      </c>
      <c r="I1290" s="3">
        <f t="shared" si="20"/>
        <v>7.7534791252485025E-2</v>
      </c>
    </row>
    <row r="1291" spans="1:9" x14ac:dyDescent="0.35">
      <c r="A1291" s="1" t="s">
        <v>804</v>
      </c>
      <c r="B1291" s="2">
        <v>43770</v>
      </c>
      <c r="C1291">
        <v>5.42</v>
      </c>
      <c r="D1291">
        <v>4.99</v>
      </c>
      <c r="E1291">
        <v>5.54</v>
      </c>
      <c r="F1291">
        <v>4.96</v>
      </c>
      <c r="G1291" s="1" t="s">
        <v>860</v>
      </c>
      <c r="H1291">
        <v>7.8200000000000006E-2</v>
      </c>
      <c r="I1291" s="3">
        <f t="shared" si="20"/>
        <v>8.4870848708487073E-2</v>
      </c>
    </row>
    <row r="1292" spans="1:9" x14ac:dyDescent="0.35">
      <c r="A1292" s="1" t="s">
        <v>804</v>
      </c>
      <c r="B1292" s="2">
        <v>43800</v>
      </c>
      <c r="C1292">
        <v>5.88</v>
      </c>
      <c r="D1292">
        <v>5.41</v>
      </c>
      <c r="E1292">
        <v>6.05</v>
      </c>
      <c r="F1292">
        <v>5.01</v>
      </c>
      <c r="G1292" s="1" t="s">
        <v>859</v>
      </c>
      <c r="H1292">
        <v>8.5599999999999996E-2</v>
      </c>
      <c r="I1292" s="3">
        <f t="shared" si="20"/>
        <v>5.1020408163265727E-3</v>
      </c>
    </row>
    <row r="1293" spans="1:9" x14ac:dyDescent="0.35">
      <c r="A1293" s="1" t="s">
        <v>804</v>
      </c>
      <c r="B1293" s="2">
        <v>43831</v>
      </c>
      <c r="C1293">
        <v>5.91</v>
      </c>
      <c r="D1293">
        <v>5.97</v>
      </c>
      <c r="E1293">
        <v>6.49</v>
      </c>
      <c r="F1293">
        <v>5.78</v>
      </c>
      <c r="G1293" s="1" t="s">
        <v>858</v>
      </c>
      <c r="H1293">
        <v>4.7999999999999996E-3</v>
      </c>
      <c r="I1293" s="3">
        <f t="shared" si="20"/>
        <v>0.14213197969543145</v>
      </c>
    </row>
    <row r="1294" spans="1:9" x14ac:dyDescent="0.35">
      <c r="A1294" s="1" t="s">
        <v>804</v>
      </c>
      <c r="B1294" s="2">
        <v>43862</v>
      </c>
      <c r="C1294">
        <v>6.75</v>
      </c>
      <c r="D1294">
        <v>5.89</v>
      </c>
      <c r="E1294">
        <v>7.91</v>
      </c>
      <c r="F1294">
        <v>5.89</v>
      </c>
      <c r="G1294" s="1" t="s">
        <v>857</v>
      </c>
      <c r="H1294">
        <v>0.14230000000000001</v>
      </c>
      <c r="I1294" s="3">
        <f t="shared" si="20"/>
        <v>-2.3703703703703723E-2</v>
      </c>
    </row>
    <row r="1295" spans="1:9" x14ac:dyDescent="0.35">
      <c r="A1295" s="1" t="s">
        <v>804</v>
      </c>
      <c r="B1295" s="2">
        <v>43891</v>
      </c>
      <c r="C1295">
        <v>6.59</v>
      </c>
      <c r="D1295">
        <v>6.92</v>
      </c>
      <c r="E1295">
        <v>7.12</v>
      </c>
      <c r="F1295">
        <v>4.5199999999999996</v>
      </c>
      <c r="G1295" s="1" t="s">
        <v>856</v>
      </c>
      <c r="H1295">
        <v>-2.4E-2</v>
      </c>
      <c r="I1295" s="3">
        <f t="shared" si="20"/>
        <v>0.10925644916540209</v>
      </c>
    </row>
    <row r="1296" spans="1:9" x14ac:dyDescent="0.35">
      <c r="A1296" s="1" t="s">
        <v>804</v>
      </c>
      <c r="B1296" s="2">
        <v>43922</v>
      </c>
      <c r="C1296">
        <v>7.31</v>
      </c>
      <c r="D1296">
        <v>6.39</v>
      </c>
      <c r="E1296">
        <v>7.61</v>
      </c>
      <c r="F1296">
        <v>5.96</v>
      </c>
      <c r="G1296" s="1" t="s">
        <v>855</v>
      </c>
      <c r="H1296">
        <v>0.10879999999999999</v>
      </c>
      <c r="I1296" s="3">
        <f t="shared" si="20"/>
        <v>0.21477428180574573</v>
      </c>
    </row>
    <row r="1297" spans="1:9" x14ac:dyDescent="0.35">
      <c r="A1297" s="1" t="s">
        <v>804</v>
      </c>
      <c r="B1297" s="2">
        <v>43952</v>
      </c>
      <c r="C1297">
        <v>8.8800000000000008</v>
      </c>
      <c r="D1297">
        <v>7.11</v>
      </c>
      <c r="E1297">
        <v>9.18</v>
      </c>
      <c r="F1297">
        <v>7.02</v>
      </c>
      <c r="G1297" s="1" t="s">
        <v>828</v>
      </c>
      <c r="H1297">
        <v>0.2147</v>
      </c>
      <c r="I1297" s="3">
        <f t="shared" si="20"/>
        <v>6.9819819819819731E-2</v>
      </c>
    </row>
    <row r="1298" spans="1:9" x14ac:dyDescent="0.35">
      <c r="A1298" s="1" t="s">
        <v>804</v>
      </c>
      <c r="B1298" s="2">
        <v>43983</v>
      </c>
      <c r="C1298">
        <v>9.5</v>
      </c>
      <c r="D1298">
        <v>8.83</v>
      </c>
      <c r="E1298">
        <v>9.64</v>
      </c>
      <c r="F1298">
        <v>8.66</v>
      </c>
      <c r="G1298" s="1" t="s">
        <v>854</v>
      </c>
      <c r="H1298">
        <v>7.0099999999999996E-2</v>
      </c>
      <c r="I1298" s="3">
        <f t="shared" si="20"/>
        <v>0.11684210526315783</v>
      </c>
    </row>
    <row r="1299" spans="1:9" x14ac:dyDescent="0.35">
      <c r="A1299" s="1" t="s">
        <v>804</v>
      </c>
      <c r="B1299" s="2">
        <v>44013</v>
      </c>
      <c r="C1299">
        <v>10.61</v>
      </c>
      <c r="D1299">
        <v>9.52</v>
      </c>
      <c r="E1299">
        <v>10.79</v>
      </c>
      <c r="F1299">
        <v>9.41</v>
      </c>
      <c r="G1299" s="1" t="s">
        <v>853</v>
      </c>
      <c r="H1299">
        <v>0.1176</v>
      </c>
      <c r="I1299" s="3">
        <f t="shared" si="20"/>
        <v>0.26013195098963243</v>
      </c>
    </row>
    <row r="1300" spans="1:9" x14ac:dyDescent="0.35">
      <c r="A1300" s="1" t="s">
        <v>804</v>
      </c>
      <c r="B1300" s="2">
        <v>44044</v>
      </c>
      <c r="C1300">
        <v>13.37</v>
      </c>
      <c r="D1300">
        <v>10.73</v>
      </c>
      <c r="E1300">
        <v>13.57</v>
      </c>
      <c r="F1300">
        <v>10.72</v>
      </c>
      <c r="G1300" s="1" t="s">
        <v>852</v>
      </c>
      <c r="H1300">
        <v>0.26</v>
      </c>
      <c r="I1300" s="3">
        <f t="shared" si="20"/>
        <v>1.1967090501121927E-2</v>
      </c>
    </row>
    <row r="1301" spans="1:9" x14ac:dyDescent="0.35">
      <c r="A1301" s="1" t="s">
        <v>804</v>
      </c>
      <c r="B1301" s="2">
        <v>44075</v>
      </c>
      <c r="C1301">
        <v>13.53</v>
      </c>
      <c r="D1301">
        <v>13.48</v>
      </c>
      <c r="E1301">
        <v>14.73</v>
      </c>
      <c r="F1301">
        <v>11.7</v>
      </c>
      <c r="G1301" s="1" t="s">
        <v>851</v>
      </c>
      <c r="H1301">
        <v>1.17E-2</v>
      </c>
      <c r="I1301" s="3">
        <f t="shared" si="20"/>
        <v>-7.3909830007390986E-2</v>
      </c>
    </row>
    <row r="1302" spans="1:9" x14ac:dyDescent="0.35">
      <c r="A1302" s="1" t="s">
        <v>804</v>
      </c>
      <c r="B1302" s="2">
        <v>44105</v>
      </c>
      <c r="C1302">
        <v>12.53</v>
      </c>
      <c r="D1302">
        <v>13.76</v>
      </c>
      <c r="E1302">
        <v>14.35</v>
      </c>
      <c r="F1302">
        <v>12.3</v>
      </c>
      <c r="G1302" s="1" t="s">
        <v>850</v>
      </c>
      <c r="H1302">
        <v>-7.3599999999999999E-2</v>
      </c>
      <c r="I1302" s="3">
        <f t="shared" si="20"/>
        <v>6.9433359936153322E-2</v>
      </c>
    </row>
    <row r="1303" spans="1:9" x14ac:dyDescent="0.35">
      <c r="A1303" s="1" t="s">
        <v>804</v>
      </c>
      <c r="B1303" s="2">
        <v>44136</v>
      </c>
      <c r="C1303">
        <v>13.4</v>
      </c>
      <c r="D1303">
        <v>12.66</v>
      </c>
      <c r="E1303">
        <v>14.69</v>
      </c>
      <c r="F1303">
        <v>12.4</v>
      </c>
      <c r="G1303" s="1" t="s">
        <v>849</v>
      </c>
      <c r="H1303">
        <v>6.9199999999999998E-2</v>
      </c>
      <c r="I1303" s="3">
        <f t="shared" si="20"/>
        <v>-2.5373134328358197E-2</v>
      </c>
    </row>
    <row r="1304" spans="1:9" x14ac:dyDescent="0.35">
      <c r="A1304" s="1" t="s">
        <v>804</v>
      </c>
      <c r="B1304" s="2">
        <v>44166</v>
      </c>
      <c r="C1304">
        <v>13.06</v>
      </c>
      <c r="D1304">
        <v>13.49</v>
      </c>
      <c r="E1304">
        <v>13.73</v>
      </c>
      <c r="F1304">
        <v>12.76</v>
      </c>
      <c r="G1304" s="1" t="s">
        <v>848</v>
      </c>
      <c r="H1304">
        <v>-2.5899999999999999E-2</v>
      </c>
      <c r="I1304" s="3">
        <f t="shared" si="20"/>
        <v>-5.3598774885145698E-3</v>
      </c>
    </row>
    <row r="1305" spans="1:9" x14ac:dyDescent="0.35">
      <c r="A1305" s="1" t="s">
        <v>804</v>
      </c>
      <c r="B1305" s="2">
        <v>44197</v>
      </c>
      <c r="C1305">
        <v>12.99</v>
      </c>
      <c r="D1305">
        <v>13.1</v>
      </c>
      <c r="E1305">
        <v>14</v>
      </c>
      <c r="F1305">
        <v>12.59</v>
      </c>
      <c r="G1305" s="1" t="s">
        <v>847</v>
      </c>
      <c r="H1305">
        <v>-5.0000000000000001E-3</v>
      </c>
      <c r="I1305" s="3">
        <f t="shared" si="20"/>
        <v>5.5427251732101668E-2</v>
      </c>
    </row>
    <row r="1306" spans="1:9" x14ac:dyDescent="0.35">
      <c r="A1306" s="1" t="s">
        <v>804</v>
      </c>
      <c r="B1306" s="2">
        <v>44228</v>
      </c>
      <c r="C1306">
        <v>13.71</v>
      </c>
      <c r="D1306">
        <v>13.05</v>
      </c>
      <c r="E1306">
        <v>15.37</v>
      </c>
      <c r="F1306">
        <v>12.9</v>
      </c>
      <c r="G1306" s="1" t="s">
        <v>846</v>
      </c>
      <c r="H1306">
        <v>5.5800000000000002E-2</v>
      </c>
      <c r="I1306" s="3">
        <f t="shared" si="20"/>
        <v>-2.6258205689277985E-2</v>
      </c>
    </row>
    <row r="1307" spans="1:9" x14ac:dyDescent="0.35">
      <c r="A1307" s="1" t="s">
        <v>804</v>
      </c>
      <c r="B1307" s="2">
        <v>44256</v>
      </c>
      <c r="C1307">
        <v>13.35</v>
      </c>
      <c r="D1307">
        <v>13.88</v>
      </c>
      <c r="E1307">
        <v>13.93</v>
      </c>
      <c r="F1307">
        <v>11.57</v>
      </c>
      <c r="G1307" s="1" t="s">
        <v>845</v>
      </c>
      <c r="H1307">
        <v>-2.6700000000000002E-2</v>
      </c>
      <c r="I1307" s="3">
        <f t="shared" si="20"/>
        <v>0.12434456928838952</v>
      </c>
    </row>
    <row r="1308" spans="1:9" x14ac:dyDescent="0.35">
      <c r="A1308" s="1" t="s">
        <v>804</v>
      </c>
      <c r="B1308" s="2">
        <v>44287</v>
      </c>
      <c r="C1308">
        <v>15.01</v>
      </c>
      <c r="D1308">
        <v>13.57</v>
      </c>
      <c r="E1308">
        <v>16.21</v>
      </c>
      <c r="F1308">
        <v>13.51</v>
      </c>
      <c r="G1308" s="1" t="s">
        <v>844</v>
      </c>
      <c r="H1308">
        <v>0.1245</v>
      </c>
      <c r="I1308" s="3">
        <f t="shared" si="20"/>
        <v>8.1945369753497574E-2</v>
      </c>
    </row>
    <row r="1309" spans="1:9" x14ac:dyDescent="0.35">
      <c r="A1309" s="1" t="s">
        <v>804</v>
      </c>
      <c r="B1309" s="2">
        <v>44317</v>
      </c>
      <c r="C1309">
        <v>16.239999999999998</v>
      </c>
      <c r="D1309">
        <v>15.13</v>
      </c>
      <c r="E1309">
        <v>16.28</v>
      </c>
      <c r="F1309">
        <v>13.46</v>
      </c>
      <c r="G1309" s="1" t="s">
        <v>843</v>
      </c>
      <c r="H1309">
        <v>8.2299999999999998E-2</v>
      </c>
      <c r="I1309" s="3">
        <f t="shared" si="20"/>
        <v>0.23152709359605922</v>
      </c>
    </row>
    <row r="1310" spans="1:9" x14ac:dyDescent="0.35">
      <c r="A1310" s="1" t="s">
        <v>804</v>
      </c>
      <c r="B1310" s="2">
        <v>44348</v>
      </c>
      <c r="C1310">
        <v>20</v>
      </c>
      <c r="D1310">
        <v>16.27</v>
      </c>
      <c r="E1310">
        <v>20.16</v>
      </c>
      <c r="F1310">
        <v>15.9</v>
      </c>
      <c r="G1310" s="1" t="s">
        <v>842</v>
      </c>
      <c r="H1310">
        <v>0.23130000000000001</v>
      </c>
      <c r="I1310" s="3">
        <f t="shared" si="20"/>
        <v>-2.5000000000000001E-2</v>
      </c>
    </row>
    <row r="1311" spans="1:9" x14ac:dyDescent="0.35">
      <c r="A1311" s="1" t="s">
        <v>804</v>
      </c>
      <c r="B1311" s="2">
        <v>44378</v>
      </c>
      <c r="C1311">
        <v>19.5</v>
      </c>
      <c r="D1311">
        <v>20.13</v>
      </c>
      <c r="E1311">
        <v>20.88</v>
      </c>
      <c r="F1311">
        <v>17.87</v>
      </c>
      <c r="G1311" s="1" t="s">
        <v>841</v>
      </c>
      <c r="H1311">
        <v>-2.52E-2</v>
      </c>
      <c r="I1311" s="3">
        <f t="shared" si="20"/>
        <v>0.14820512820512824</v>
      </c>
    </row>
    <row r="1312" spans="1:9" x14ac:dyDescent="0.35">
      <c r="A1312" s="1" t="s">
        <v>804</v>
      </c>
      <c r="B1312" s="2">
        <v>44409</v>
      </c>
      <c r="C1312">
        <v>22.39</v>
      </c>
      <c r="D1312">
        <v>19.7</v>
      </c>
      <c r="E1312">
        <v>23.04</v>
      </c>
      <c r="F1312">
        <v>18.760000000000002</v>
      </c>
      <c r="G1312" s="1" t="s">
        <v>840</v>
      </c>
      <c r="H1312">
        <v>0.14799999999999999</v>
      </c>
      <c r="I1312" s="3">
        <f t="shared" si="20"/>
        <v>-7.4586869138008119E-2</v>
      </c>
    </row>
    <row r="1313" spans="1:9" x14ac:dyDescent="0.35">
      <c r="A1313" s="1" t="s">
        <v>804</v>
      </c>
      <c r="B1313" s="2">
        <v>44440</v>
      </c>
      <c r="C1313">
        <v>20.72</v>
      </c>
      <c r="D1313">
        <v>22.49</v>
      </c>
      <c r="E1313">
        <v>22.99</v>
      </c>
      <c r="F1313">
        <v>20.47</v>
      </c>
      <c r="G1313" s="1" t="s">
        <v>839</v>
      </c>
      <c r="H1313">
        <v>-7.46E-2</v>
      </c>
      <c r="I1313" s="3">
        <f t="shared" si="20"/>
        <v>0.23407335907335916</v>
      </c>
    </row>
    <row r="1314" spans="1:9" x14ac:dyDescent="0.35">
      <c r="A1314" s="1" t="s">
        <v>804</v>
      </c>
      <c r="B1314" s="2">
        <v>44470</v>
      </c>
      <c r="C1314">
        <v>25.57</v>
      </c>
      <c r="D1314">
        <v>20.75</v>
      </c>
      <c r="E1314">
        <v>25.71</v>
      </c>
      <c r="F1314">
        <v>19.559999999999999</v>
      </c>
      <c r="G1314" s="1" t="s">
        <v>838</v>
      </c>
      <c r="H1314">
        <v>0.23419999999999999</v>
      </c>
      <c r="I1314" s="3">
        <f t="shared" si="20"/>
        <v>0.27806022682831438</v>
      </c>
    </row>
    <row r="1315" spans="1:9" x14ac:dyDescent="0.35">
      <c r="A1315" s="1" t="s">
        <v>804</v>
      </c>
      <c r="B1315" s="2">
        <v>44501</v>
      </c>
      <c r="C1315">
        <v>32.68</v>
      </c>
      <c r="D1315">
        <v>25.65</v>
      </c>
      <c r="E1315">
        <v>34.65</v>
      </c>
      <c r="F1315">
        <v>25.23</v>
      </c>
      <c r="G1315" s="1" t="s">
        <v>837</v>
      </c>
      <c r="H1315">
        <v>0.27810000000000001</v>
      </c>
      <c r="I1315" s="3">
        <f t="shared" si="20"/>
        <v>-0.1000611995104039</v>
      </c>
    </row>
    <row r="1316" spans="1:9" x14ac:dyDescent="0.35">
      <c r="A1316" s="1" t="s">
        <v>804</v>
      </c>
      <c r="B1316" s="2">
        <v>44531</v>
      </c>
      <c r="C1316">
        <v>29.41</v>
      </c>
      <c r="D1316">
        <v>33.22</v>
      </c>
      <c r="E1316">
        <v>33.29</v>
      </c>
      <c r="F1316">
        <v>27.15</v>
      </c>
      <c r="G1316" s="1" t="s">
        <v>836</v>
      </c>
      <c r="H1316">
        <v>-9.9900000000000003E-2</v>
      </c>
      <c r="I1316" s="3">
        <f t="shared" si="20"/>
        <v>-0.16729003740224418</v>
      </c>
    </row>
    <row r="1317" spans="1:9" x14ac:dyDescent="0.35">
      <c r="A1317" s="1" t="s">
        <v>804</v>
      </c>
      <c r="B1317" s="2">
        <v>44562</v>
      </c>
      <c r="C1317">
        <v>24.49</v>
      </c>
      <c r="D1317">
        <v>29.82</v>
      </c>
      <c r="E1317">
        <v>30.71</v>
      </c>
      <c r="F1317">
        <v>20.89</v>
      </c>
      <c r="G1317" s="1" t="s">
        <v>835</v>
      </c>
      <c r="H1317">
        <v>-0.16750000000000001</v>
      </c>
      <c r="I1317" s="3">
        <f t="shared" si="20"/>
        <v>-4.0832993058390315E-3</v>
      </c>
    </row>
    <row r="1318" spans="1:9" x14ac:dyDescent="0.35">
      <c r="A1318" s="1" t="s">
        <v>804</v>
      </c>
      <c r="B1318" s="2">
        <v>44593</v>
      </c>
      <c r="C1318">
        <v>24.39</v>
      </c>
      <c r="D1318">
        <v>25.1</v>
      </c>
      <c r="E1318">
        <v>26.92</v>
      </c>
      <c r="F1318">
        <v>20.89</v>
      </c>
      <c r="G1318" s="1" t="s">
        <v>445</v>
      </c>
      <c r="H1318">
        <v>-4.1000000000000003E-3</v>
      </c>
      <c r="I1318" s="3">
        <f t="shared" si="20"/>
        <v>0.11890118901189006</v>
      </c>
    </row>
    <row r="1319" spans="1:9" x14ac:dyDescent="0.35">
      <c r="A1319" s="1" t="s">
        <v>804</v>
      </c>
      <c r="B1319" s="2">
        <v>44621</v>
      </c>
      <c r="C1319">
        <v>27.29</v>
      </c>
      <c r="D1319">
        <v>24.29</v>
      </c>
      <c r="E1319">
        <v>28.95</v>
      </c>
      <c r="F1319">
        <v>20.65</v>
      </c>
      <c r="G1319" s="1" t="s">
        <v>834</v>
      </c>
      <c r="H1319">
        <v>0.11899999999999999</v>
      </c>
      <c r="I1319" s="3">
        <f t="shared" si="20"/>
        <v>-0.32026383290582627</v>
      </c>
    </row>
    <row r="1320" spans="1:9" x14ac:dyDescent="0.35">
      <c r="A1320" s="1" t="s">
        <v>804</v>
      </c>
      <c r="B1320" s="2">
        <v>44652</v>
      </c>
      <c r="C1320">
        <v>18.55</v>
      </c>
      <c r="D1320">
        <v>27.38</v>
      </c>
      <c r="E1320">
        <v>27.56</v>
      </c>
      <c r="F1320">
        <v>18.29</v>
      </c>
      <c r="G1320" s="1" t="s">
        <v>435</v>
      </c>
      <c r="H1320">
        <v>-0.32029999999999997</v>
      </c>
      <c r="I1320" s="3">
        <f t="shared" si="20"/>
        <v>6.4690026954178428E-3</v>
      </c>
    </row>
    <row r="1321" spans="1:9" x14ac:dyDescent="0.35">
      <c r="A1321" s="1" t="s">
        <v>804</v>
      </c>
      <c r="B1321" s="2">
        <v>44682</v>
      </c>
      <c r="C1321">
        <v>18.670000000000002</v>
      </c>
      <c r="D1321">
        <v>18.54</v>
      </c>
      <c r="E1321">
        <v>20.399999999999999</v>
      </c>
      <c r="F1321">
        <v>15.57</v>
      </c>
      <c r="G1321" s="1" t="s">
        <v>833</v>
      </c>
      <c r="H1321">
        <v>6.7000000000000002E-3</v>
      </c>
      <c r="I1321" s="3">
        <f t="shared" si="20"/>
        <v>-0.18800214247455818</v>
      </c>
    </row>
    <row r="1322" spans="1:9" x14ac:dyDescent="0.35">
      <c r="A1322" s="1" t="s">
        <v>804</v>
      </c>
      <c r="B1322" s="2">
        <v>44713</v>
      </c>
      <c r="C1322">
        <v>15.16</v>
      </c>
      <c r="D1322">
        <v>18.72</v>
      </c>
      <c r="E1322">
        <v>19.62</v>
      </c>
      <c r="F1322">
        <v>14.86</v>
      </c>
      <c r="G1322" s="1" t="s">
        <v>832</v>
      </c>
      <c r="H1322">
        <v>-0.18809999999999999</v>
      </c>
      <c r="I1322" s="3">
        <f t="shared" si="20"/>
        <v>0.19788918205804748</v>
      </c>
    </row>
    <row r="1323" spans="1:9" x14ac:dyDescent="0.35">
      <c r="A1323" s="1" t="s">
        <v>804</v>
      </c>
      <c r="B1323" s="2">
        <v>44743</v>
      </c>
      <c r="C1323">
        <v>18.16</v>
      </c>
      <c r="D1323">
        <v>14.9</v>
      </c>
      <c r="E1323">
        <v>18.239999999999998</v>
      </c>
      <c r="F1323">
        <v>14.06</v>
      </c>
      <c r="G1323" s="1" t="s">
        <v>831</v>
      </c>
      <c r="H1323">
        <v>0.19819999999999999</v>
      </c>
      <c r="I1323" s="3">
        <f t="shared" si="20"/>
        <v>-0.16905286343612336</v>
      </c>
    </row>
    <row r="1324" spans="1:9" x14ac:dyDescent="0.35">
      <c r="A1324" s="1" t="s">
        <v>804</v>
      </c>
      <c r="B1324" s="2">
        <v>44774</v>
      </c>
      <c r="C1324">
        <v>15.09</v>
      </c>
      <c r="D1324">
        <v>18.18</v>
      </c>
      <c r="E1324">
        <v>19.27</v>
      </c>
      <c r="F1324">
        <v>14.96</v>
      </c>
      <c r="G1324" s="1" t="s">
        <v>830</v>
      </c>
      <c r="H1324">
        <v>-0.16900000000000001</v>
      </c>
      <c r="I1324" s="3">
        <f t="shared" si="20"/>
        <v>-0.19549370444002645</v>
      </c>
    </row>
    <row r="1325" spans="1:9" x14ac:dyDescent="0.35">
      <c r="A1325" s="1" t="s">
        <v>804</v>
      </c>
      <c r="B1325" s="2">
        <v>44805</v>
      </c>
      <c r="C1325">
        <v>12.14</v>
      </c>
      <c r="D1325">
        <v>14.21</v>
      </c>
      <c r="E1325">
        <v>14.55</v>
      </c>
      <c r="F1325">
        <v>11.95</v>
      </c>
      <c r="G1325" s="1" t="s">
        <v>829</v>
      </c>
      <c r="H1325">
        <v>-0.1958</v>
      </c>
      <c r="I1325" s="3">
        <f t="shared" si="20"/>
        <v>0.11202635914332779</v>
      </c>
    </row>
    <row r="1326" spans="1:9" x14ac:dyDescent="0.35">
      <c r="A1326" s="1" t="s">
        <v>804</v>
      </c>
      <c r="B1326" s="2">
        <v>44835</v>
      </c>
      <c r="C1326">
        <v>13.5</v>
      </c>
      <c r="D1326">
        <v>12.35</v>
      </c>
      <c r="E1326">
        <v>13.85</v>
      </c>
      <c r="F1326">
        <v>10.81</v>
      </c>
      <c r="G1326" s="1" t="s">
        <v>828</v>
      </c>
      <c r="H1326">
        <v>0.1119</v>
      </c>
      <c r="I1326" s="3">
        <f t="shared" si="20"/>
        <v>0.25333333333333347</v>
      </c>
    </row>
    <row r="1327" spans="1:9" x14ac:dyDescent="0.35">
      <c r="A1327" s="1" t="s">
        <v>804</v>
      </c>
      <c r="B1327" s="2">
        <v>44866</v>
      </c>
      <c r="C1327">
        <v>16.920000000000002</v>
      </c>
      <c r="D1327">
        <v>13.81</v>
      </c>
      <c r="E1327">
        <v>17</v>
      </c>
      <c r="F1327">
        <v>12.96</v>
      </c>
      <c r="G1327" s="1" t="s">
        <v>827</v>
      </c>
      <c r="H1327">
        <v>0.25380000000000003</v>
      </c>
      <c r="I1327" s="3">
        <f t="shared" si="20"/>
        <v>-0.13652482269503557</v>
      </c>
    </row>
    <row r="1328" spans="1:9" x14ac:dyDescent="0.35">
      <c r="A1328" s="1" t="s">
        <v>804</v>
      </c>
      <c r="B1328" s="2">
        <v>44896</v>
      </c>
      <c r="C1328">
        <v>14.61</v>
      </c>
      <c r="D1328">
        <v>17</v>
      </c>
      <c r="E1328">
        <v>18.79</v>
      </c>
      <c r="F1328">
        <v>13.88</v>
      </c>
      <c r="G1328" s="1" t="s">
        <v>826</v>
      </c>
      <c r="H1328">
        <v>-0.13639999999999999</v>
      </c>
      <c r="I1328" s="3">
        <f t="shared" si="20"/>
        <v>0.33744010951403147</v>
      </c>
    </row>
    <row r="1329" spans="1:9" x14ac:dyDescent="0.35">
      <c r="A1329" s="1" t="s">
        <v>804</v>
      </c>
      <c r="B1329" s="2">
        <v>44927</v>
      </c>
      <c r="C1329">
        <v>19.54</v>
      </c>
      <c r="D1329">
        <v>14.85</v>
      </c>
      <c r="E1329">
        <v>20.63</v>
      </c>
      <c r="F1329">
        <v>14.03</v>
      </c>
      <c r="G1329" s="1" t="s">
        <v>424</v>
      </c>
      <c r="H1329">
        <v>0.33689999999999998</v>
      </c>
      <c r="I1329" s="3">
        <f t="shared" si="20"/>
        <v>0.18833162743091095</v>
      </c>
    </row>
    <row r="1330" spans="1:9" x14ac:dyDescent="0.35">
      <c r="A1330" s="1" t="s">
        <v>804</v>
      </c>
      <c r="B1330" s="2">
        <v>44958</v>
      </c>
      <c r="C1330">
        <v>23.22</v>
      </c>
      <c r="D1330">
        <v>19.690000000000001</v>
      </c>
      <c r="E1330">
        <v>23.89</v>
      </c>
      <c r="F1330">
        <v>19.61</v>
      </c>
      <c r="G1330" s="1" t="s">
        <v>825</v>
      </c>
      <c r="H1330">
        <v>0.1883</v>
      </c>
      <c r="I1330" s="3">
        <f t="shared" si="20"/>
        <v>0.19638242894056859</v>
      </c>
    </row>
    <row r="1331" spans="1:9" x14ac:dyDescent="0.35">
      <c r="A1331" s="1" t="s">
        <v>804</v>
      </c>
      <c r="B1331" s="2">
        <v>44986</v>
      </c>
      <c r="C1331">
        <v>27.78</v>
      </c>
      <c r="D1331">
        <v>23.19</v>
      </c>
      <c r="E1331">
        <v>27.83</v>
      </c>
      <c r="F1331">
        <v>22.3</v>
      </c>
      <c r="G1331" s="1" t="s">
        <v>824</v>
      </c>
      <c r="H1331">
        <v>0.19650000000000001</v>
      </c>
      <c r="I1331" s="3">
        <f t="shared" si="20"/>
        <v>-1.0799136069114879E-3</v>
      </c>
    </row>
    <row r="1332" spans="1:9" x14ac:dyDescent="0.35">
      <c r="A1332" s="1" t="s">
        <v>804</v>
      </c>
      <c r="B1332" s="2">
        <v>45017</v>
      </c>
      <c r="C1332">
        <v>27.75</v>
      </c>
      <c r="D1332">
        <v>27.51</v>
      </c>
      <c r="E1332">
        <v>28.11</v>
      </c>
      <c r="F1332">
        <v>26.22</v>
      </c>
      <c r="G1332" s="1" t="s">
        <v>810</v>
      </c>
      <c r="H1332">
        <v>-1E-3</v>
      </c>
      <c r="I1332" s="3">
        <f t="shared" si="20"/>
        <v>0.3632432432432432</v>
      </c>
    </row>
    <row r="1333" spans="1:9" x14ac:dyDescent="0.35">
      <c r="A1333" s="1" t="s">
        <v>804</v>
      </c>
      <c r="B1333" s="2">
        <v>45047</v>
      </c>
      <c r="C1333">
        <v>37.83</v>
      </c>
      <c r="D1333">
        <v>27.84</v>
      </c>
      <c r="E1333">
        <v>41.94</v>
      </c>
      <c r="F1333">
        <v>27.24</v>
      </c>
      <c r="G1333" s="1" t="s">
        <v>823</v>
      </c>
      <c r="H1333">
        <v>0.3634</v>
      </c>
      <c r="I1333" s="3">
        <f t="shared" si="20"/>
        <v>0.11816019032513875</v>
      </c>
    </row>
    <row r="1334" spans="1:9" x14ac:dyDescent="0.35">
      <c r="A1334" s="1" t="s">
        <v>804</v>
      </c>
      <c r="B1334" s="2">
        <v>45078</v>
      </c>
      <c r="C1334">
        <v>42.3</v>
      </c>
      <c r="D1334">
        <v>38.49</v>
      </c>
      <c r="E1334">
        <v>43.99</v>
      </c>
      <c r="F1334">
        <v>37.36</v>
      </c>
      <c r="G1334" s="1" t="s">
        <v>822</v>
      </c>
      <c r="H1334">
        <v>0.1181</v>
      </c>
      <c r="I1334" s="3">
        <f t="shared" si="20"/>
        <v>0.10472813238770685</v>
      </c>
    </row>
    <row r="1335" spans="1:9" x14ac:dyDescent="0.35">
      <c r="A1335" s="1" t="s">
        <v>804</v>
      </c>
      <c r="B1335" s="2">
        <v>45108</v>
      </c>
      <c r="C1335">
        <v>46.73</v>
      </c>
      <c r="D1335">
        <v>42.52</v>
      </c>
      <c r="E1335">
        <v>48.09</v>
      </c>
      <c r="F1335">
        <v>41.35</v>
      </c>
      <c r="G1335" s="1" t="s">
        <v>821</v>
      </c>
      <c r="H1335">
        <v>0.1047</v>
      </c>
      <c r="I1335" s="3">
        <f t="shared" si="20"/>
        <v>5.6066766531136417E-2</v>
      </c>
    </row>
    <row r="1336" spans="1:9" x14ac:dyDescent="0.35">
      <c r="A1336" s="1" t="s">
        <v>804</v>
      </c>
      <c r="B1336" s="2">
        <v>45139</v>
      </c>
      <c r="C1336">
        <v>49.35</v>
      </c>
      <c r="D1336">
        <v>46.46</v>
      </c>
      <c r="E1336">
        <v>50.27</v>
      </c>
      <c r="F1336">
        <v>40.31</v>
      </c>
      <c r="G1336" s="1" t="s">
        <v>820</v>
      </c>
      <c r="H1336">
        <v>5.62E-2</v>
      </c>
      <c r="I1336" s="3">
        <f t="shared" si="20"/>
        <v>-0.11854103343465049</v>
      </c>
    </row>
    <row r="1337" spans="1:9" x14ac:dyDescent="0.35">
      <c r="A1337" s="1" t="s">
        <v>804</v>
      </c>
      <c r="B1337" s="2">
        <v>45170</v>
      </c>
      <c r="C1337">
        <v>43.5</v>
      </c>
      <c r="D1337">
        <v>49.76</v>
      </c>
      <c r="E1337">
        <v>49.8</v>
      </c>
      <c r="F1337">
        <v>40.98</v>
      </c>
      <c r="G1337" s="1" t="s">
        <v>819</v>
      </c>
      <c r="H1337">
        <v>-0.1187</v>
      </c>
      <c r="I1337" s="3">
        <f t="shared" si="20"/>
        <v>-6.2528735632183877E-2</v>
      </c>
    </row>
    <row r="1338" spans="1:9" x14ac:dyDescent="0.35">
      <c r="A1338" s="1" t="s">
        <v>804</v>
      </c>
      <c r="B1338" s="2">
        <v>45200</v>
      </c>
      <c r="C1338">
        <v>40.78</v>
      </c>
      <c r="D1338">
        <v>44.03</v>
      </c>
      <c r="E1338">
        <v>47.61</v>
      </c>
      <c r="F1338">
        <v>39.229999999999997</v>
      </c>
      <c r="G1338" s="1" t="s">
        <v>818</v>
      </c>
      <c r="H1338">
        <v>-6.25E-2</v>
      </c>
      <c r="I1338" s="3">
        <f t="shared" si="20"/>
        <v>0.14688572829818544</v>
      </c>
    </row>
    <row r="1339" spans="1:9" x14ac:dyDescent="0.35">
      <c r="A1339" s="1" t="s">
        <v>804</v>
      </c>
      <c r="B1339" s="2">
        <v>45231</v>
      </c>
      <c r="C1339">
        <v>46.77</v>
      </c>
      <c r="D1339">
        <v>40.880000000000003</v>
      </c>
      <c r="E1339">
        <v>50.55</v>
      </c>
      <c r="F1339">
        <v>40.869999999999997</v>
      </c>
      <c r="G1339" s="1" t="s">
        <v>817</v>
      </c>
      <c r="H1339">
        <v>0.1469</v>
      </c>
      <c r="I1339" s="3">
        <f t="shared" si="20"/>
        <v>5.8798375026726531E-2</v>
      </c>
    </row>
    <row r="1340" spans="1:9" x14ac:dyDescent="0.35">
      <c r="A1340" s="1" t="s">
        <v>804</v>
      </c>
      <c r="B1340" s="2">
        <v>45261</v>
      </c>
      <c r="C1340">
        <v>49.52</v>
      </c>
      <c r="D1340">
        <v>46.53</v>
      </c>
      <c r="E1340">
        <v>50.43</v>
      </c>
      <c r="F1340">
        <v>45.01</v>
      </c>
      <c r="G1340" s="1" t="s">
        <v>816</v>
      </c>
      <c r="H1340">
        <v>5.8799999999999998E-2</v>
      </c>
      <c r="I1340" s="3">
        <f t="shared" si="20"/>
        <v>0.24252827140549268</v>
      </c>
    </row>
    <row r="1341" spans="1:9" x14ac:dyDescent="0.35">
      <c r="A1341" s="1" t="s">
        <v>804</v>
      </c>
      <c r="B1341" s="2">
        <v>45292</v>
      </c>
      <c r="C1341">
        <v>61.53</v>
      </c>
      <c r="D1341">
        <v>49.24</v>
      </c>
      <c r="E1341">
        <v>63.49</v>
      </c>
      <c r="F1341">
        <v>47.32</v>
      </c>
      <c r="G1341" s="1" t="s">
        <v>815</v>
      </c>
      <c r="H1341">
        <v>0.2424</v>
      </c>
      <c r="I1341" s="3">
        <f t="shared" si="20"/>
        <v>0.2857142857142857</v>
      </c>
    </row>
    <row r="1342" spans="1:9" x14ac:dyDescent="0.35">
      <c r="A1342" s="1" t="s">
        <v>804</v>
      </c>
      <c r="B1342" s="2">
        <v>45323</v>
      </c>
      <c r="C1342">
        <v>79.11</v>
      </c>
      <c r="D1342">
        <v>62.1</v>
      </c>
      <c r="E1342">
        <v>82.39</v>
      </c>
      <c r="F1342">
        <v>61.65</v>
      </c>
      <c r="G1342" s="1" t="s">
        <v>814</v>
      </c>
      <c r="H1342">
        <v>0.2858</v>
      </c>
      <c r="I1342" s="3">
        <f t="shared" si="20"/>
        <v>0.1422070534698521</v>
      </c>
    </row>
    <row r="1343" spans="1:9" x14ac:dyDescent="0.35">
      <c r="A1343" s="1" t="s">
        <v>804</v>
      </c>
      <c r="B1343" s="2">
        <v>45352</v>
      </c>
      <c r="C1343">
        <v>90.36</v>
      </c>
      <c r="D1343">
        <v>80</v>
      </c>
      <c r="E1343">
        <v>97.4</v>
      </c>
      <c r="F1343">
        <v>79.44</v>
      </c>
      <c r="G1343" s="1" t="s">
        <v>813</v>
      </c>
      <c r="H1343">
        <v>0.1421</v>
      </c>
      <c r="I1343" s="3">
        <f t="shared" si="20"/>
        <v>-4.3824701195219057E-2</v>
      </c>
    </row>
    <row r="1344" spans="1:9" x14ac:dyDescent="0.35">
      <c r="A1344" s="1" t="s">
        <v>804</v>
      </c>
      <c r="B1344" s="2">
        <v>45383</v>
      </c>
      <c r="C1344">
        <v>86.4</v>
      </c>
      <c r="D1344">
        <v>90.3</v>
      </c>
      <c r="E1344">
        <v>92.22</v>
      </c>
      <c r="F1344">
        <v>75.61</v>
      </c>
      <c r="G1344" s="1" t="s">
        <v>812</v>
      </c>
      <c r="H1344">
        <v>-4.3799999999999999E-2</v>
      </c>
      <c r="I1344" s="3">
        <f t="shared" si="20"/>
        <v>0.2688657407407406</v>
      </c>
    </row>
    <row r="1345" spans="1:9" x14ac:dyDescent="0.35">
      <c r="A1345" s="1" t="s">
        <v>804</v>
      </c>
      <c r="B1345" s="2">
        <v>45413</v>
      </c>
      <c r="C1345">
        <v>109.63</v>
      </c>
      <c r="D1345">
        <v>85.08</v>
      </c>
      <c r="E1345">
        <v>115.82</v>
      </c>
      <c r="F1345">
        <v>81.25</v>
      </c>
      <c r="G1345" s="1" t="s">
        <v>811</v>
      </c>
      <c r="H1345">
        <v>0.26889999999999997</v>
      </c>
      <c r="I1345" s="3">
        <f t="shared" si="20"/>
        <v>0.12688132810362138</v>
      </c>
    </row>
    <row r="1346" spans="1:9" x14ac:dyDescent="0.35">
      <c r="A1346" s="1" t="s">
        <v>804</v>
      </c>
      <c r="B1346" s="2">
        <v>45444</v>
      </c>
      <c r="C1346">
        <v>123.54</v>
      </c>
      <c r="D1346">
        <v>113.62</v>
      </c>
      <c r="E1346">
        <v>140.76</v>
      </c>
      <c r="F1346">
        <v>112</v>
      </c>
      <c r="G1346" s="1" t="s">
        <v>810</v>
      </c>
      <c r="H1346">
        <v>0.12690000000000001</v>
      </c>
      <c r="I1346" s="3">
        <f t="shared" ref="I1346:I1409" si="21">IF(A1347=A1346, (C1347-C1346)/C1346, 0)</f>
        <v>-5.2776428687064995E-2</v>
      </c>
    </row>
    <row r="1347" spans="1:9" x14ac:dyDescent="0.35">
      <c r="A1347" s="1" t="s">
        <v>804</v>
      </c>
      <c r="B1347" s="2">
        <v>45474</v>
      </c>
      <c r="C1347">
        <v>117.02</v>
      </c>
      <c r="D1347">
        <v>123.47</v>
      </c>
      <c r="E1347">
        <v>136.15</v>
      </c>
      <c r="F1347">
        <v>102.54</v>
      </c>
      <c r="G1347" s="1" t="s">
        <v>809</v>
      </c>
      <c r="H1347">
        <v>-5.28E-2</v>
      </c>
      <c r="I1347" s="3">
        <f t="shared" si="21"/>
        <v>2.0082037258588349E-2</v>
      </c>
    </row>
    <row r="1348" spans="1:9" x14ac:dyDescent="0.35">
      <c r="A1348" s="1" t="s">
        <v>804</v>
      </c>
      <c r="B1348" s="2">
        <v>45505</v>
      </c>
      <c r="C1348">
        <v>119.37</v>
      </c>
      <c r="D1348">
        <v>117.53</v>
      </c>
      <c r="E1348">
        <v>131.26</v>
      </c>
      <c r="F1348">
        <v>90.69</v>
      </c>
      <c r="G1348" s="1" t="s">
        <v>808</v>
      </c>
      <c r="H1348">
        <v>2.01E-2</v>
      </c>
      <c r="I1348" s="3">
        <f t="shared" si="21"/>
        <v>1.7341040462427688E-2</v>
      </c>
    </row>
    <row r="1349" spans="1:9" x14ac:dyDescent="0.35">
      <c r="A1349" s="1" t="s">
        <v>804</v>
      </c>
      <c r="B1349" s="2">
        <v>45536</v>
      </c>
      <c r="C1349">
        <v>121.44</v>
      </c>
      <c r="D1349">
        <v>116.01</v>
      </c>
      <c r="E1349">
        <v>127.67</v>
      </c>
      <c r="F1349">
        <v>100.95</v>
      </c>
      <c r="G1349" s="1" t="s">
        <v>807</v>
      </c>
      <c r="H1349">
        <v>1.7299999999999999E-2</v>
      </c>
      <c r="I1349" s="3">
        <f t="shared" si="21"/>
        <v>9.3214756258234471E-2</v>
      </c>
    </row>
    <row r="1350" spans="1:9" x14ac:dyDescent="0.35">
      <c r="A1350" s="1" t="s">
        <v>804</v>
      </c>
      <c r="B1350" s="2">
        <v>45566</v>
      </c>
      <c r="C1350">
        <v>132.76</v>
      </c>
      <c r="D1350">
        <v>121.76</v>
      </c>
      <c r="E1350">
        <v>144.41999999999999</v>
      </c>
      <c r="F1350">
        <v>115.14</v>
      </c>
      <c r="G1350" s="1" t="s">
        <v>806</v>
      </c>
      <c r="H1350">
        <v>9.3200000000000005E-2</v>
      </c>
      <c r="I1350" s="3">
        <f t="shared" si="21"/>
        <v>4.13528171135885E-2</v>
      </c>
    </row>
    <row r="1351" spans="1:9" x14ac:dyDescent="0.35">
      <c r="A1351" s="1" t="s">
        <v>804</v>
      </c>
      <c r="B1351" s="2">
        <v>45597</v>
      </c>
      <c r="C1351">
        <v>138.25</v>
      </c>
      <c r="D1351">
        <v>134.69999999999999</v>
      </c>
      <c r="E1351">
        <v>152.88999999999999</v>
      </c>
      <c r="F1351">
        <v>131.80000000000001</v>
      </c>
      <c r="G1351" s="1" t="s">
        <v>805</v>
      </c>
      <c r="H1351">
        <v>4.1399999999999999E-2</v>
      </c>
      <c r="I1351" s="3">
        <f t="shared" si="21"/>
        <v>-2.8643761301989208E-2</v>
      </c>
    </row>
    <row r="1352" spans="1:9" x14ac:dyDescent="0.35">
      <c r="A1352" s="1" t="s">
        <v>804</v>
      </c>
      <c r="B1352" s="2">
        <v>45627</v>
      </c>
      <c r="C1352">
        <v>134.29</v>
      </c>
      <c r="D1352">
        <v>138.83000000000001</v>
      </c>
      <c r="E1352">
        <v>146.54</v>
      </c>
      <c r="F1352">
        <v>126.86</v>
      </c>
      <c r="G1352" s="1" t="s">
        <v>329</v>
      </c>
      <c r="H1352">
        <v>-2.86E-2</v>
      </c>
      <c r="I1352" s="3">
        <f t="shared" si="21"/>
        <v>0</v>
      </c>
    </row>
    <row r="1353" spans="1:9" x14ac:dyDescent="0.35">
      <c r="A1353" s="1" t="s">
        <v>1012</v>
      </c>
      <c r="B1353" s="2">
        <v>40360</v>
      </c>
      <c r="C1353">
        <v>1.33</v>
      </c>
      <c r="D1353">
        <v>1.67</v>
      </c>
      <c r="E1353">
        <v>1.73</v>
      </c>
      <c r="F1353">
        <v>1</v>
      </c>
      <c r="G1353" s="1" t="s">
        <v>1078</v>
      </c>
      <c r="H1353">
        <v>-0.16350000000000001</v>
      </c>
      <c r="I1353" s="3">
        <f t="shared" si="21"/>
        <v>-2.2556390977443629E-2</v>
      </c>
    </row>
    <row r="1354" spans="1:9" x14ac:dyDescent="0.35">
      <c r="A1354" s="1" t="s">
        <v>1012</v>
      </c>
      <c r="B1354" s="2">
        <v>40391</v>
      </c>
      <c r="C1354">
        <v>1.3</v>
      </c>
      <c r="D1354">
        <v>1.37</v>
      </c>
      <c r="E1354">
        <v>1.48</v>
      </c>
      <c r="F1354">
        <v>1.1599999999999999</v>
      </c>
      <c r="G1354" s="1" t="s">
        <v>1077</v>
      </c>
      <c r="H1354">
        <v>-2.2599999999999999E-2</v>
      </c>
      <c r="I1354" s="3">
        <f t="shared" si="21"/>
        <v>4.6153846153846191E-2</v>
      </c>
    </row>
    <row r="1355" spans="1:9" x14ac:dyDescent="0.35">
      <c r="A1355" s="1" t="s">
        <v>1012</v>
      </c>
      <c r="B1355" s="2">
        <v>40422</v>
      </c>
      <c r="C1355">
        <v>1.36</v>
      </c>
      <c r="D1355">
        <v>1.31</v>
      </c>
      <c r="E1355">
        <v>1.54</v>
      </c>
      <c r="F1355">
        <v>1.3</v>
      </c>
      <c r="G1355" s="1" t="s">
        <v>1076</v>
      </c>
      <c r="H1355">
        <v>4.6199999999999998E-2</v>
      </c>
      <c r="I1355" s="3">
        <f t="shared" si="21"/>
        <v>7.3529411764705774E-2</v>
      </c>
    </row>
    <row r="1356" spans="1:9" x14ac:dyDescent="0.35">
      <c r="A1356" s="1" t="s">
        <v>1012</v>
      </c>
      <c r="B1356" s="2">
        <v>40452</v>
      </c>
      <c r="C1356">
        <v>1.46</v>
      </c>
      <c r="D1356">
        <v>1.38</v>
      </c>
      <c r="E1356">
        <v>1.46</v>
      </c>
      <c r="F1356">
        <v>1.33</v>
      </c>
      <c r="G1356" s="1" t="s">
        <v>1075</v>
      </c>
      <c r="H1356">
        <v>7.3499999999999996E-2</v>
      </c>
      <c r="I1356" s="3">
        <f t="shared" si="21"/>
        <v>0.61643835616438347</v>
      </c>
    </row>
    <row r="1357" spans="1:9" x14ac:dyDescent="0.35">
      <c r="A1357" s="1" t="s">
        <v>1012</v>
      </c>
      <c r="B1357" s="2">
        <v>40483</v>
      </c>
      <c r="C1357">
        <v>2.36</v>
      </c>
      <c r="D1357">
        <v>1.46</v>
      </c>
      <c r="E1357">
        <v>2.4</v>
      </c>
      <c r="F1357">
        <v>1.4</v>
      </c>
      <c r="G1357" s="1" t="s">
        <v>1074</v>
      </c>
      <c r="H1357">
        <v>0.61639999999999995</v>
      </c>
      <c r="I1357" s="3">
        <f t="shared" si="21"/>
        <v>-0.24576271186440674</v>
      </c>
    </row>
    <row r="1358" spans="1:9" x14ac:dyDescent="0.35">
      <c r="A1358" s="1" t="s">
        <v>1012</v>
      </c>
      <c r="B1358" s="2">
        <v>40513</v>
      </c>
      <c r="C1358">
        <v>1.78</v>
      </c>
      <c r="D1358">
        <v>2.39</v>
      </c>
      <c r="E1358">
        <v>2.4300000000000002</v>
      </c>
      <c r="F1358">
        <v>1.67</v>
      </c>
      <c r="G1358" s="1" t="s">
        <v>1073</v>
      </c>
      <c r="H1358">
        <v>-0.24579999999999999</v>
      </c>
      <c r="I1358" s="3">
        <f t="shared" si="21"/>
        <v>-9.5505617977528046E-2</v>
      </c>
    </row>
    <row r="1359" spans="1:9" x14ac:dyDescent="0.35">
      <c r="A1359" s="1" t="s">
        <v>1012</v>
      </c>
      <c r="B1359" s="2">
        <v>40544</v>
      </c>
      <c r="C1359">
        <v>1.61</v>
      </c>
      <c r="D1359">
        <v>1.79</v>
      </c>
      <c r="E1359">
        <v>1.91</v>
      </c>
      <c r="F1359">
        <v>1.49</v>
      </c>
      <c r="G1359" s="1" t="s">
        <v>662</v>
      </c>
      <c r="H1359">
        <v>-9.5500000000000002E-2</v>
      </c>
      <c r="I1359" s="3">
        <f t="shared" si="21"/>
        <v>-1.2422360248447215E-2</v>
      </c>
    </row>
    <row r="1360" spans="1:9" x14ac:dyDescent="0.35">
      <c r="A1360" s="1" t="s">
        <v>1012</v>
      </c>
      <c r="B1360" s="2">
        <v>40575</v>
      </c>
      <c r="C1360">
        <v>1.59</v>
      </c>
      <c r="D1360">
        <v>1.62</v>
      </c>
      <c r="E1360">
        <v>1.7</v>
      </c>
      <c r="F1360">
        <v>1.41</v>
      </c>
      <c r="G1360" s="1" t="s">
        <v>1072</v>
      </c>
      <c r="H1360">
        <v>-1.24E-2</v>
      </c>
      <c r="I1360" s="3">
        <f t="shared" si="21"/>
        <v>0.16352201257861634</v>
      </c>
    </row>
    <row r="1361" spans="1:9" x14ac:dyDescent="0.35">
      <c r="A1361" s="1" t="s">
        <v>1012</v>
      </c>
      <c r="B1361" s="2">
        <v>40603</v>
      </c>
      <c r="C1361">
        <v>1.85</v>
      </c>
      <c r="D1361">
        <v>1.6</v>
      </c>
      <c r="E1361">
        <v>1.91</v>
      </c>
      <c r="F1361">
        <v>1.45</v>
      </c>
      <c r="G1361" s="1" t="s">
        <v>1071</v>
      </c>
      <c r="H1361">
        <v>0.16350000000000001</v>
      </c>
      <c r="I1361" s="3">
        <f t="shared" si="21"/>
        <v>-5.40540540540541E-3</v>
      </c>
    </row>
    <row r="1362" spans="1:9" x14ac:dyDescent="0.35">
      <c r="A1362" s="1" t="s">
        <v>1012</v>
      </c>
      <c r="B1362" s="2">
        <v>40634</v>
      </c>
      <c r="C1362">
        <v>1.84</v>
      </c>
      <c r="D1362">
        <v>1.83</v>
      </c>
      <c r="E1362">
        <v>1.88</v>
      </c>
      <c r="F1362">
        <v>1.61</v>
      </c>
      <c r="G1362" s="1" t="s">
        <v>1070</v>
      </c>
      <c r="H1362">
        <v>-5.4000000000000003E-3</v>
      </c>
      <c r="I1362" s="3">
        <f t="shared" si="21"/>
        <v>9.2391304347825928E-2</v>
      </c>
    </row>
    <row r="1363" spans="1:9" x14ac:dyDescent="0.35">
      <c r="A1363" s="1" t="s">
        <v>1012</v>
      </c>
      <c r="B1363" s="2">
        <v>40664</v>
      </c>
      <c r="C1363">
        <v>2.0099999999999998</v>
      </c>
      <c r="D1363">
        <v>1.84</v>
      </c>
      <c r="E1363">
        <v>2.02</v>
      </c>
      <c r="F1363">
        <v>1.7</v>
      </c>
      <c r="G1363" s="1" t="s">
        <v>1069</v>
      </c>
      <c r="H1363">
        <v>9.2399999999999996E-2</v>
      </c>
      <c r="I1363" s="3">
        <f t="shared" si="21"/>
        <v>-3.4825870646766094E-2</v>
      </c>
    </row>
    <row r="1364" spans="1:9" x14ac:dyDescent="0.35">
      <c r="A1364" s="1" t="s">
        <v>1012</v>
      </c>
      <c r="B1364" s="2">
        <v>40695</v>
      </c>
      <c r="C1364">
        <v>1.94</v>
      </c>
      <c r="D1364">
        <v>2</v>
      </c>
      <c r="E1364">
        <v>2.1</v>
      </c>
      <c r="F1364">
        <v>1.7</v>
      </c>
      <c r="G1364" s="1" t="s">
        <v>1068</v>
      </c>
      <c r="H1364">
        <v>-3.4799999999999998E-2</v>
      </c>
      <c r="I1364" s="3">
        <f t="shared" si="21"/>
        <v>-3.0927835051546421E-2</v>
      </c>
    </row>
    <row r="1365" spans="1:9" x14ac:dyDescent="0.35">
      <c r="A1365" s="1" t="s">
        <v>1012</v>
      </c>
      <c r="B1365" s="2">
        <v>40725</v>
      </c>
      <c r="C1365">
        <v>1.88</v>
      </c>
      <c r="D1365">
        <v>1.94</v>
      </c>
      <c r="E1365">
        <v>2.0299999999999998</v>
      </c>
      <c r="F1365">
        <v>1.78</v>
      </c>
      <c r="G1365" s="1" t="s">
        <v>1067</v>
      </c>
      <c r="H1365">
        <v>-3.09E-2</v>
      </c>
      <c r="I1365" s="3">
        <f t="shared" si="21"/>
        <v>-0.12234042553191489</v>
      </c>
    </row>
    <row r="1366" spans="1:9" x14ac:dyDescent="0.35">
      <c r="A1366" s="1" t="s">
        <v>1012</v>
      </c>
      <c r="B1366" s="2">
        <v>40756</v>
      </c>
      <c r="C1366">
        <v>1.65</v>
      </c>
      <c r="D1366">
        <v>1.91</v>
      </c>
      <c r="E1366">
        <v>1.95</v>
      </c>
      <c r="F1366">
        <v>1.43</v>
      </c>
      <c r="G1366" s="1" t="s">
        <v>1066</v>
      </c>
      <c r="H1366">
        <v>-0.12230000000000001</v>
      </c>
      <c r="I1366" s="3">
        <f t="shared" si="21"/>
        <v>-1.2121212121212133E-2</v>
      </c>
    </row>
    <row r="1367" spans="1:9" x14ac:dyDescent="0.35">
      <c r="A1367" s="1" t="s">
        <v>1012</v>
      </c>
      <c r="B1367" s="2">
        <v>40787</v>
      </c>
      <c r="C1367">
        <v>1.63</v>
      </c>
      <c r="D1367">
        <v>1.64</v>
      </c>
      <c r="E1367">
        <v>1.8</v>
      </c>
      <c r="F1367">
        <v>1.49</v>
      </c>
      <c r="G1367" s="1" t="s">
        <v>1065</v>
      </c>
      <c r="H1367">
        <v>-1.21E-2</v>
      </c>
      <c r="I1367" s="3">
        <f t="shared" si="21"/>
        <v>0.2024539877300614</v>
      </c>
    </row>
    <row r="1368" spans="1:9" x14ac:dyDescent="0.35">
      <c r="A1368" s="1" t="s">
        <v>1012</v>
      </c>
      <c r="B1368" s="2">
        <v>40817</v>
      </c>
      <c r="C1368">
        <v>1.96</v>
      </c>
      <c r="D1368">
        <v>1.66</v>
      </c>
      <c r="E1368">
        <v>2</v>
      </c>
      <c r="F1368">
        <v>1.53</v>
      </c>
      <c r="G1368" s="1" t="s">
        <v>1064</v>
      </c>
      <c r="H1368">
        <v>0.20250000000000001</v>
      </c>
      <c r="I1368" s="3">
        <f t="shared" si="21"/>
        <v>0.11224489795918377</v>
      </c>
    </row>
    <row r="1369" spans="1:9" x14ac:dyDescent="0.35">
      <c r="A1369" s="1" t="s">
        <v>1012</v>
      </c>
      <c r="B1369" s="2">
        <v>40848</v>
      </c>
      <c r="C1369">
        <v>2.1800000000000002</v>
      </c>
      <c r="D1369">
        <v>1.89</v>
      </c>
      <c r="E1369">
        <v>2.33</v>
      </c>
      <c r="F1369">
        <v>1.87</v>
      </c>
      <c r="G1369" s="1" t="s">
        <v>1063</v>
      </c>
      <c r="H1369">
        <v>0.11219999999999999</v>
      </c>
      <c r="I1369" s="3">
        <f t="shared" si="21"/>
        <v>-0.12844036697247718</v>
      </c>
    </row>
    <row r="1370" spans="1:9" x14ac:dyDescent="0.35">
      <c r="A1370" s="1" t="s">
        <v>1012</v>
      </c>
      <c r="B1370" s="2">
        <v>40878</v>
      </c>
      <c r="C1370">
        <v>1.9</v>
      </c>
      <c r="D1370">
        <v>2.17</v>
      </c>
      <c r="E1370">
        <v>2.33</v>
      </c>
      <c r="F1370">
        <v>1.74</v>
      </c>
      <c r="G1370" s="1" t="s">
        <v>1062</v>
      </c>
      <c r="H1370">
        <v>-0.12839999999999999</v>
      </c>
      <c r="I1370" s="3">
        <f t="shared" si="21"/>
        <v>2.1052631578947389E-2</v>
      </c>
    </row>
    <row r="1371" spans="1:9" x14ac:dyDescent="0.35">
      <c r="A1371" s="1" t="s">
        <v>1012</v>
      </c>
      <c r="B1371" s="2">
        <v>40909</v>
      </c>
      <c r="C1371">
        <v>1.94</v>
      </c>
      <c r="D1371">
        <v>1.93</v>
      </c>
      <c r="E1371">
        <v>2</v>
      </c>
      <c r="F1371">
        <v>1.51</v>
      </c>
      <c r="G1371" s="1" t="s">
        <v>1061</v>
      </c>
      <c r="H1371">
        <v>2.1100000000000001E-2</v>
      </c>
      <c r="I1371" s="3">
        <f t="shared" si="21"/>
        <v>0.14948453608247425</v>
      </c>
    </row>
    <row r="1372" spans="1:9" x14ac:dyDescent="0.35">
      <c r="A1372" s="1" t="s">
        <v>1012</v>
      </c>
      <c r="B1372" s="2">
        <v>40940</v>
      </c>
      <c r="C1372">
        <v>2.23</v>
      </c>
      <c r="D1372">
        <v>1.94</v>
      </c>
      <c r="E1372">
        <v>2.33</v>
      </c>
      <c r="F1372">
        <v>1.93</v>
      </c>
      <c r="G1372" s="1" t="s">
        <v>1060</v>
      </c>
      <c r="H1372">
        <v>0.14949999999999999</v>
      </c>
      <c r="I1372" s="3">
        <f t="shared" si="21"/>
        <v>0.11210762331838565</v>
      </c>
    </row>
    <row r="1373" spans="1:9" x14ac:dyDescent="0.35">
      <c r="A1373" s="1" t="s">
        <v>1012</v>
      </c>
      <c r="B1373" s="2">
        <v>40969</v>
      </c>
      <c r="C1373">
        <v>2.48</v>
      </c>
      <c r="D1373">
        <v>2.23</v>
      </c>
      <c r="E1373">
        <v>2.66</v>
      </c>
      <c r="F1373">
        <v>2.17</v>
      </c>
      <c r="G1373" s="1" t="s">
        <v>1059</v>
      </c>
      <c r="H1373">
        <v>0.11210000000000001</v>
      </c>
      <c r="I1373" s="3">
        <f t="shared" si="21"/>
        <v>-0.1088709677419355</v>
      </c>
    </row>
    <row r="1374" spans="1:9" x14ac:dyDescent="0.35">
      <c r="A1374" s="1" t="s">
        <v>1012</v>
      </c>
      <c r="B1374" s="2">
        <v>41000</v>
      </c>
      <c r="C1374">
        <v>2.21</v>
      </c>
      <c r="D1374">
        <v>2.4900000000000002</v>
      </c>
      <c r="E1374">
        <v>2.56</v>
      </c>
      <c r="F1374">
        <v>2.0699999999999998</v>
      </c>
      <c r="G1374" s="1" t="s">
        <v>1058</v>
      </c>
      <c r="H1374">
        <v>-0.1089</v>
      </c>
      <c r="I1374" s="3">
        <f t="shared" si="21"/>
        <v>-0.10859728506787331</v>
      </c>
    </row>
    <row r="1375" spans="1:9" x14ac:dyDescent="0.35">
      <c r="A1375" s="1" t="s">
        <v>1012</v>
      </c>
      <c r="B1375" s="2">
        <v>41030</v>
      </c>
      <c r="C1375">
        <v>1.97</v>
      </c>
      <c r="D1375">
        <v>2.21</v>
      </c>
      <c r="E1375">
        <v>2.31</v>
      </c>
      <c r="F1375">
        <v>1.79</v>
      </c>
      <c r="G1375" s="1" t="s">
        <v>1057</v>
      </c>
      <c r="H1375">
        <v>-0.1086</v>
      </c>
      <c r="I1375" s="3">
        <f t="shared" si="21"/>
        <v>6.0913705583756285E-2</v>
      </c>
    </row>
    <row r="1376" spans="1:9" x14ac:dyDescent="0.35">
      <c r="A1376" s="1" t="s">
        <v>1012</v>
      </c>
      <c r="B1376" s="2">
        <v>41061</v>
      </c>
      <c r="C1376">
        <v>2.09</v>
      </c>
      <c r="D1376">
        <v>1.9</v>
      </c>
      <c r="E1376">
        <v>2.2999999999999998</v>
      </c>
      <c r="F1376">
        <v>1.81</v>
      </c>
      <c r="G1376" s="1" t="s">
        <v>1056</v>
      </c>
      <c r="H1376">
        <v>6.0900000000000003E-2</v>
      </c>
      <c r="I1376" s="3">
        <f t="shared" si="21"/>
        <v>-0.12440191387559799</v>
      </c>
    </row>
    <row r="1377" spans="1:9" x14ac:dyDescent="0.35">
      <c r="A1377" s="1" t="s">
        <v>1012</v>
      </c>
      <c r="B1377" s="2">
        <v>41091</v>
      </c>
      <c r="C1377">
        <v>1.83</v>
      </c>
      <c r="D1377">
        <v>2.09</v>
      </c>
      <c r="E1377">
        <v>2.4</v>
      </c>
      <c r="F1377">
        <v>1.81</v>
      </c>
      <c r="G1377" s="1" t="s">
        <v>1055</v>
      </c>
      <c r="H1377">
        <v>-0.1244</v>
      </c>
      <c r="I1377" s="3">
        <f t="shared" si="21"/>
        <v>3.825136612021849E-2</v>
      </c>
    </row>
    <row r="1378" spans="1:9" x14ac:dyDescent="0.35">
      <c r="A1378" s="1" t="s">
        <v>1012</v>
      </c>
      <c r="B1378" s="2">
        <v>41122</v>
      </c>
      <c r="C1378">
        <v>1.9</v>
      </c>
      <c r="D1378">
        <v>1.87</v>
      </c>
      <c r="E1378">
        <v>2.09</v>
      </c>
      <c r="F1378">
        <v>1.7</v>
      </c>
      <c r="G1378" s="1" t="s">
        <v>1054</v>
      </c>
      <c r="H1378">
        <v>3.8300000000000001E-2</v>
      </c>
      <c r="I1378" s="3">
        <f t="shared" si="21"/>
        <v>2.6315789473684237E-2</v>
      </c>
    </row>
    <row r="1379" spans="1:9" x14ac:dyDescent="0.35">
      <c r="A1379" s="1" t="s">
        <v>1012</v>
      </c>
      <c r="B1379" s="2">
        <v>41153</v>
      </c>
      <c r="C1379">
        <v>1.95</v>
      </c>
      <c r="D1379">
        <v>1.9</v>
      </c>
      <c r="E1379">
        <v>2.19</v>
      </c>
      <c r="F1379">
        <v>1.82</v>
      </c>
      <c r="G1379" s="1" t="s">
        <v>1053</v>
      </c>
      <c r="H1379">
        <v>2.63E-2</v>
      </c>
      <c r="I1379" s="3">
        <f t="shared" si="21"/>
        <v>-3.5897435897435929E-2</v>
      </c>
    </row>
    <row r="1380" spans="1:9" x14ac:dyDescent="0.35">
      <c r="A1380" s="1" t="s">
        <v>1012</v>
      </c>
      <c r="B1380" s="2">
        <v>41183</v>
      </c>
      <c r="C1380">
        <v>1.88</v>
      </c>
      <c r="D1380">
        <v>1.97</v>
      </c>
      <c r="E1380">
        <v>2.0099999999999998</v>
      </c>
      <c r="F1380">
        <v>1.79</v>
      </c>
      <c r="G1380" s="1" t="s">
        <v>1052</v>
      </c>
      <c r="H1380">
        <v>-3.5900000000000001E-2</v>
      </c>
      <c r="I1380" s="3">
        <f t="shared" si="21"/>
        <v>0.19680851063829793</v>
      </c>
    </row>
    <row r="1381" spans="1:9" x14ac:dyDescent="0.35">
      <c r="A1381" s="1" t="s">
        <v>1012</v>
      </c>
      <c r="B1381" s="2">
        <v>41214</v>
      </c>
      <c r="C1381">
        <v>2.25</v>
      </c>
      <c r="D1381">
        <v>1.88</v>
      </c>
      <c r="E1381">
        <v>2.29</v>
      </c>
      <c r="F1381">
        <v>1.88</v>
      </c>
      <c r="G1381" s="1" t="s">
        <v>1051</v>
      </c>
      <c r="H1381">
        <v>0.1968</v>
      </c>
      <c r="I1381" s="3">
        <f t="shared" si="21"/>
        <v>4.4444444444443499E-3</v>
      </c>
    </row>
    <row r="1382" spans="1:9" x14ac:dyDescent="0.35">
      <c r="A1382" s="1" t="s">
        <v>1012</v>
      </c>
      <c r="B1382" s="2">
        <v>41244</v>
      </c>
      <c r="C1382">
        <v>2.2599999999999998</v>
      </c>
      <c r="D1382">
        <v>2.2599999999999998</v>
      </c>
      <c r="E1382">
        <v>2.39</v>
      </c>
      <c r="F1382">
        <v>2.1800000000000002</v>
      </c>
      <c r="G1382" s="1" t="s">
        <v>1050</v>
      </c>
      <c r="H1382">
        <v>4.4000000000000003E-3</v>
      </c>
      <c r="I1382" s="3">
        <f t="shared" si="21"/>
        <v>0.10619469026548684</v>
      </c>
    </row>
    <row r="1383" spans="1:9" x14ac:dyDescent="0.35">
      <c r="A1383" s="1" t="s">
        <v>1012</v>
      </c>
      <c r="B1383" s="2">
        <v>41275</v>
      </c>
      <c r="C1383">
        <v>2.5</v>
      </c>
      <c r="D1383">
        <v>2.33</v>
      </c>
      <c r="E1383">
        <v>2.58</v>
      </c>
      <c r="F1383">
        <v>2.14</v>
      </c>
      <c r="G1383" s="1" t="s">
        <v>1049</v>
      </c>
      <c r="H1383">
        <v>0.1062</v>
      </c>
      <c r="I1383" s="3">
        <f t="shared" si="21"/>
        <v>-7.2000000000000064E-2</v>
      </c>
    </row>
    <row r="1384" spans="1:9" x14ac:dyDescent="0.35">
      <c r="A1384" s="1" t="s">
        <v>1012</v>
      </c>
      <c r="B1384" s="2">
        <v>41306</v>
      </c>
      <c r="C1384">
        <v>2.3199999999999998</v>
      </c>
      <c r="D1384">
        <v>2.54</v>
      </c>
      <c r="E1384">
        <v>2.67</v>
      </c>
      <c r="F1384">
        <v>2.25</v>
      </c>
      <c r="G1384" s="1" t="s">
        <v>1048</v>
      </c>
      <c r="H1384">
        <v>-7.1999999999999995E-2</v>
      </c>
      <c r="I1384" s="3">
        <f t="shared" si="21"/>
        <v>9.0517241379310331E-2</v>
      </c>
    </row>
    <row r="1385" spans="1:9" x14ac:dyDescent="0.35">
      <c r="A1385" s="1" t="s">
        <v>1012</v>
      </c>
      <c r="B1385" s="2">
        <v>41334</v>
      </c>
      <c r="C1385">
        <v>2.5299999999999998</v>
      </c>
      <c r="D1385">
        <v>2.33</v>
      </c>
      <c r="E1385">
        <v>2.63</v>
      </c>
      <c r="F1385">
        <v>2.2799999999999998</v>
      </c>
      <c r="G1385" s="1" t="s">
        <v>1047</v>
      </c>
      <c r="H1385">
        <v>9.0499999999999997E-2</v>
      </c>
      <c r="I1385" s="3">
        <f t="shared" si="21"/>
        <v>0.42292490118577092</v>
      </c>
    </row>
    <row r="1386" spans="1:9" x14ac:dyDescent="0.35">
      <c r="A1386" s="1" t="s">
        <v>1012</v>
      </c>
      <c r="B1386" s="2">
        <v>41365</v>
      </c>
      <c r="C1386">
        <v>3.6</v>
      </c>
      <c r="D1386">
        <v>2.82</v>
      </c>
      <c r="E1386">
        <v>3.88</v>
      </c>
      <c r="F1386">
        <v>2.68</v>
      </c>
      <c r="G1386" s="1" t="s">
        <v>240</v>
      </c>
      <c r="H1386">
        <v>0.4229</v>
      </c>
      <c r="I1386" s="3">
        <f t="shared" si="21"/>
        <v>0.81111111111111089</v>
      </c>
    </row>
    <row r="1387" spans="1:9" x14ac:dyDescent="0.35">
      <c r="A1387" s="1" t="s">
        <v>1012</v>
      </c>
      <c r="B1387" s="2">
        <v>41395</v>
      </c>
      <c r="C1387">
        <v>6.52</v>
      </c>
      <c r="D1387">
        <v>3.73</v>
      </c>
      <c r="E1387">
        <v>7.66</v>
      </c>
      <c r="F1387">
        <v>3.53</v>
      </c>
      <c r="G1387" s="1" t="s">
        <v>838</v>
      </c>
      <c r="H1387">
        <v>0.81110000000000004</v>
      </c>
      <c r="I1387" s="3">
        <f t="shared" si="21"/>
        <v>9.8159509202454087E-2</v>
      </c>
    </row>
    <row r="1388" spans="1:9" x14ac:dyDescent="0.35">
      <c r="A1388" s="1" t="s">
        <v>1012</v>
      </c>
      <c r="B1388" s="2">
        <v>41426</v>
      </c>
      <c r="C1388">
        <v>7.16</v>
      </c>
      <c r="D1388">
        <v>6.51</v>
      </c>
      <c r="E1388">
        <v>7.35</v>
      </c>
      <c r="F1388">
        <v>5.88</v>
      </c>
      <c r="G1388" s="1" t="s">
        <v>312</v>
      </c>
      <c r="H1388">
        <v>9.8199999999999996E-2</v>
      </c>
      <c r="I1388" s="3">
        <f t="shared" si="21"/>
        <v>0.24999999999999989</v>
      </c>
    </row>
    <row r="1389" spans="1:9" x14ac:dyDescent="0.35">
      <c r="A1389" s="1" t="s">
        <v>1012</v>
      </c>
      <c r="B1389" s="2">
        <v>41456</v>
      </c>
      <c r="C1389">
        <v>8.9499999999999993</v>
      </c>
      <c r="D1389">
        <v>7.29</v>
      </c>
      <c r="E1389">
        <v>9.17</v>
      </c>
      <c r="F1389">
        <v>6.97</v>
      </c>
      <c r="G1389" s="1" t="s">
        <v>1015</v>
      </c>
      <c r="H1389">
        <v>0.25</v>
      </c>
      <c r="I1389" s="3">
        <f t="shared" si="21"/>
        <v>0.25921787709497213</v>
      </c>
    </row>
    <row r="1390" spans="1:9" x14ac:dyDescent="0.35">
      <c r="A1390" s="1" t="s">
        <v>1012</v>
      </c>
      <c r="B1390" s="2">
        <v>41487</v>
      </c>
      <c r="C1390">
        <v>11.27</v>
      </c>
      <c r="D1390">
        <v>9</v>
      </c>
      <c r="E1390">
        <v>11.53</v>
      </c>
      <c r="F1390">
        <v>8.82</v>
      </c>
      <c r="G1390" s="1" t="s">
        <v>386</v>
      </c>
      <c r="H1390">
        <v>0.25919999999999999</v>
      </c>
      <c r="I1390" s="3">
        <f t="shared" si="21"/>
        <v>0.14374445430346061</v>
      </c>
    </row>
    <row r="1391" spans="1:9" x14ac:dyDescent="0.35">
      <c r="A1391" s="1" t="s">
        <v>1012</v>
      </c>
      <c r="B1391" s="2">
        <v>41518</v>
      </c>
      <c r="C1391">
        <v>12.89</v>
      </c>
      <c r="D1391">
        <v>11.56</v>
      </c>
      <c r="E1391">
        <v>12.97</v>
      </c>
      <c r="F1391">
        <v>10.57</v>
      </c>
      <c r="G1391" s="1" t="s">
        <v>1046</v>
      </c>
      <c r="H1391">
        <v>0.14369999999999999</v>
      </c>
      <c r="I1391" s="3">
        <f t="shared" si="21"/>
        <v>-0.17300232738557023</v>
      </c>
    </row>
    <row r="1392" spans="1:9" x14ac:dyDescent="0.35">
      <c r="A1392" s="1" t="s">
        <v>1012</v>
      </c>
      <c r="B1392" s="2">
        <v>41548</v>
      </c>
      <c r="C1392">
        <v>10.66</v>
      </c>
      <c r="D1392">
        <v>12.93</v>
      </c>
      <c r="E1392">
        <v>12.95</v>
      </c>
      <c r="F1392">
        <v>10.199999999999999</v>
      </c>
      <c r="G1392" s="1" t="s">
        <v>217</v>
      </c>
      <c r="H1392">
        <v>-0.17299999999999999</v>
      </c>
      <c r="I1392" s="3">
        <f t="shared" si="21"/>
        <v>-0.20356472795497185</v>
      </c>
    </row>
    <row r="1393" spans="1:9" x14ac:dyDescent="0.35">
      <c r="A1393" s="1" t="s">
        <v>1012</v>
      </c>
      <c r="B1393" s="2">
        <v>41579</v>
      </c>
      <c r="C1393">
        <v>8.49</v>
      </c>
      <c r="D1393">
        <v>10.87</v>
      </c>
      <c r="E1393">
        <v>12.1</v>
      </c>
      <c r="F1393">
        <v>7.74</v>
      </c>
      <c r="G1393" s="1" t="s">
        <v>1045</v>
      </c>
      <c r="H1393">
        <v>-0.2036</v>
      </c>
      <c r="I1393" s="3">
        <f t="shared" si="21"/>
        <v>0.18138987043580673</v>
      </c>
    </row>
    <row r="1394" spans="1:9" x14ac:dyDescent="0.35">
      <c r="A1394" s="1" t="s">
        <v>1012</v>
      </c>
      <c r="B1394" s="2">
        <v>41609</v>
      </c>
      <c r="C1394">
        <v>10.029999999999999</v>
      </c>
      <c r="D1394">
        <v>8.42</v>
      </c>
      <c r="E1394">
        <v>10.53</v>
      </c>
      <c r="F1394">
        <v>8.26</v>
      </c>
      <c r="G1394" s="1" t="s">
        <v>1044</v>
      </c>
      <c r="H1394">
        <v>0.18140000000000001</v>
      </c>
      <c r="I1394" s="3">
        <f t="shared" si="21"/>
        <v>0.20538384845463614</v>
      </c>
    </row>
    <row r="1395" spans="1:9" x14ac:dyDescent="0.35">
      <c r="A1395" s="1" t="s">
        <v>1012</v>
      </c>
      <c r="B1395" s="2">
        <v>41640</v>
      </c>
      <c r="C1395">
        <v>12.09</v>
      </c>
      <c r="D1395">
        <v>9.99</v>
      </c>
      <c r="E1395">
        <v>12.4</v>
      </c>
      <c r="F1395">
        <v>9.11</v>
      </c>
      <c r="G1395" s="1" t="s">
        <v>295</v>
      </c>
      <c r="H1395">
        <v>0.2054</v>
      </c>
      <c r="I1395" s="3">
        <f t="shared" si="21"/>
        <v>0.34987593052109184</v>
      </c>
    </row>
    <row r="1396" spans="1:9" x14ac:dyDescent="0.35">
      <c r="A1396" s="1" t="s">
        <v>1012</v>
      </c>
      <c r="B1396" s="2">
        <v>41671</v>
      </c>
      <c r="C1396">
        <v>16.32</v>
      </c>
      <c r="D1396">
        <v>12.19</v>
      </c>
      <c r="E1396">
        <v>17.670000000000002</v>
      </c>
      <c r="F1396">
        <v>11.29</v>
      </c>
      <c r="G1396" s="1" t="s">
        <v>1043</v>
      </c>
      <c r="H1396">
        <v>0.34989999999999999</v>
      </c>
      <c r="I1396" s="3">
        <f t="shared" si="21"/>
        <v>-0.1482843137254902</v>
      </c>
    </row>
    <row r="1397" spans="1:9" x14ac:dyDescent="0.35">
      <c r="A1397" s="1" t="s">
        <v>1012</v>
      </c>
      <c r="B1397" s="2">
        <v>41699</v>
      </c>
      <c r="C1397">
        <v>13.9</v>
      </c>
      <c r="D1397">
        <v>15.82</v>
      </c>
      <c r="E1397">
        <v>17.329999999999998</v>
      </c>
      <c r="F1397">
        <v>13.53</v>
      </c>
      <c r="G1397" s="1" t="s">
        <v>204</v>
      </c>
      <c r="H1397">
        <v>-0.14829999999999999</v>
      </c>
      <c r="I1397" s="3">
        <f t="shared" si="21"/>
        <v>-2.8776978417266851E-3</v>
      </c>
    </row>
    <row r="1398" spans="1:9" x14ac:dyDescent="0.35">
      <c r="A1398" s="1" t="s">
        <v>1012</v>
      </c>
      <c r="B1398" s="2">
        <v>41730</v>
      </c>
      <c r="C1398">
        <v>13.86</v>
      </c>
      <c r="D1398">
        <v>13.93</v>
      </c>
      <c r="E1398">
        <v>15.72</v>
      </c>
      <c r="F1398">
        <v>12.29</v>
      </c>
      <c r="G1398" s="1" t="s">
        <v>285</v>
      </c>
      <c r="H1398">
        <v>-2.8999999999999998E-3</v>
      </c>
      <c r="I1398" s="3">
        <f t="shared" si="21"/>
        <v>-7.215007215007061E-4</v>
      </c>
    </row>
    <row r="1399" spans="1:9" x14ac:dyDescent="0.35">
      <c r="A1399" s="1" t="s">
        <v>1012</v>
      </c>
      <c r="B1399" s="2">
        <v>41760</v>
      </c>
      <c r="C1399">
        <v>13.85</v>
      </c>
      <c r="D1399">
        <v>13.81</v>
      </c>
      <c r="E1399">
        <v>14.58</v>
      </c>
      <c r="F1399">
        <v>11.81</v>
      </c>
      <c r="G1399" s="1" t="s">
        <v>267</v>
      </c>
      <c r="H1399">
        <v>-5.9999999999999995E-4</v>
      </c>
      <c r="I1399" s="3">
        <f t="shared" si="21"/>
        <v>0.15523465703971123</v>
      </c>
    </row>
    <row r="1400" spans="1:9" x14ac:dyDescent="0.35">
      <c r="A1400" s="1" t="s">
        <v>1012</v>
      </c>
      <c r="B1400" s="2">
        <v>41791</v>
      </c>
      <c r="C1400">
        <v>16</v>
      </c>
      <c r="D1400">
        <v>13.82</v>
      </c>
      <c r="E1400">
        <v>16.3</v>
      </c>
      <c r="F1400">
        <v>13.28</v>
      </c>
      <c r="G1400" s="1" t="s">
        <v>262</v>
      </c>
      <c r="H1400">
        <v>0.15540000000000001</v>
      </c>
      <c r="I1400" s="3">
        <f t="shared" si="21"/>
        <v>-6.9374999999999964E-2</v>
      </c>
    </row>
    <row r="1401" spans="1:9" x14ac:dyDescent="0.35">
      <c r="A1401" s="1" t="s">
        <v>1012</v>
      </c>
      <c r="B1401" s="2">
        <v>41821</v>
      </c>
      <c r="C1401">
        <v>14.89</v>
      </c>
      <c r="D1401">
        <v>16.16</v>
      </c>
      <c r="E1401">
        <v>16.23</v>
      </c>
      <c r="F1401">
        <v>14.24</v>
      </c>
      <c r="G1401" s="1" t="s">
        <v>163</v>
      </c>
      <c r="H1401">
        <v>-6.9800000000000001E-2</v>
      </c>
      <c r="I1401" s="3">
        <f t="shared" si="21"/>
        <v>0.20752182672934855</v>
      </c>
    </row>
    <row r="1402" spans="1:9" x14ac:dyDescent="0.35">
      <c r="A1402" s="1" t="s">
        <v>1012</v>
      </c>
      <c r="B1402" s="2">
        <v>41852</v>
      </c>
      <c r="C1402">
        <v>17.98</v>
      </c>
      <c r="D1402">
        <v>15.07</v>
      </c>
      <c r="E1402">
        <v>18.13</v>
      </c>
      <c r="F1402">
        <v>15.07</v>
      </c>
      <c r="G1402" s="1" t="s">
        <v>275</v>
      </c>
      <c r="H1402">
        <v>0.20780000000000001</v>
      </c>
      <c r="I1402" s="3">
        <f t="shared" si="21"/>
        <v>-0.10011123470522806</v>
      </c>
    </row>
    <row r="1403" spans="1:9" x14ac:dyDescent="0.35">
      <c r="A1403" s="1" t="s">
        <v>1012</v>
      </c>
      <c r="B1403" s="2">
        <v>41883</v>
      </c>
      <c r="C1403">
        <v>16.18</v>
      </c>
      <c r="D1403">
        <v>18.37</v>
      </c>
      <c r="E1403">
        <v>19.43</v>
      </c>
      <c r="F1403">
        <v>16.010000000000002</v>
      </c>
      <c r="G1403" s="1" t="s">
        <v>294</v>
      </c>
      <c r="H1403">
        <v>-0.1002</v>
      </c>
      <c r="I1403" s="3">
        <f t="shared" si="21"/>
        <v>-4.3263288009888932E-3</v>
      </c>
    </row>
    <row r="1404" spans="1:9" x14ac:dyDescent="0.35">
      <c r="A1404" s="1" t="s">
        <v>1012</v>
      </c>
      <c r="B1404" s="2">
        <v>41913</v>
      </c>
      <c r="C1404">
        <v>16.11</v>
      </c>
      <c r="D1404">
        <v>16.149999999999999</v>
      </c>
      <c r="E1404">
        <v>17.7</v>
      </c>
      <c r="F1404">
        <v>14.49</v>
      </c>
      <c r="G1404" s="1" t="s">
        <v>203</v>
      </c>
      <c r="H1404">
        <v>-4.0000000000000001E-3</v>
      </c>
      <c r="I1404" s="3">
        <f t="shared" si="21"/>
        <v>1.1793916821849862E-2</v>
      </c>
    </row>
    <row r="1405" spans="1:9" x14ac:dyDescent="0.35">
      <c r="A1405" s="1" t="s">
        <v>1012</v>
      </c>
      <c r="B1405" s="2">
        <v>41944</v>
      </c>
      <c r="C1405">
        <v>16.3</v>
      </c>
      <c r="D1405">
        <v>16.2</v>
      </c>
      <c r="E1405">
        <v>17.329999999999998</v>
      </c>
      <c r="F1405">
        <v>15.23</v>
      </c>
      <c r="G1405" s="1" t="s">
        <v>163</v>
      </c>
      <c r="H1405">
        <v>1.17E-2</v>
      </c>
      <c r="I1405" s="3">
        <f t="shared" si="21"/>
        <v>-9.0184049079754636E-2</v>
      </c>
    </row>
    <row r="1406" spans="1:9" x14ac:dyDescent="0.35">
      <c r="A1406" s="1" t="s">
        <v>1012</v>
      </c>
      <c r="B1406" s="2">
        <v>41974</v>
      </c>
      <c r="C1406">
        <v>14.83</v>
      </c>
      <c r="D1406">
        <v>16.079999999999998</v>
      </c>
      <c r="E1406">
        <v>16.16</v>
      </c>
      <c r="F1406">
        <v>12.84</v>
      </c>
      <c r="G1406" s="1" t="s">
        <v>307</v>
      </c>
      <c r="H1406">
        <v>-9.0399999999999994E-2</v>
      </c>
      <c r="I1406" s="3">
        <f t="shared" si="21"/>
        <v>-8.4962913014160465E-2</v>
      </c>
    </row>
    <row r="1407" spans="1:9" x14ac:dyDescent="0.35">
      <c r="A1407" s="1" t="s">
        <v>1012</v>
      </c>
      <c r="B1407" s="2">
        <v>42005</v>
      </c>
      <c r="C1407">
        <v>13.57</v>
      </c>
      <c r="D1407">
        <v>14.86</v>
      </c>
      <c r="E1407">
        <v>14.88</v>
      </c>
      <c r="F1407">
        <v>12.33</v>
      </c>
      <c r="G1407" s="1" t="s">
        <v>115</v>
      </c>
      <c r="H1407">
        <v>-8.4599999999999995E-2</v>
      </c>
      <c r="I1407" s="3">
        <f t="shared" si="21"/>
        <v>-7.3691967575532696E-4</v>
      </c>
    </row>
    <row r="1408" spans="1:9" x14ac:dyDescent="0.35">
      <c r="A1408" s="1" t="s">
        <v>1012</v>
      </c>
      <c r="B1408" s="2">
        <v>42036</v>
      </c>
      <c r="C1408">
        <v>13.56</v>
      </c>
      <c r="D1408">
        <v>13.6</v>
      </c>
      <c r="E1408">
        <v>15.03</v>
      </c>
      <c r="F1408">
        <v>12.89</v>
      </c>
      <c r="G1408" s="1" t="s">
        <v>264</v>
      </c>
      <c r="H1408">
        <v>-1.2999999999999999E-3</v>
      </c>
      <c r="I1408" s="3">
        <f t="shared" si="21"/>
        <v>-7.22713864306785E-2</v>
      </c>
    </row>
    <row r="1409" spans="1:9" x14ac:dyDescent="0.35">
      <c r="A1409" s="1" t="s">
        <v>1012</v>
      </c>
      <c r="B1409" s="2">
        <v>42064</v>
      </c>
      <c r="C1409">
        <v>12.58</v>
      </c>
      <c r="D1409">
        <v>13.51</v>
      </c>
      <c r="E1409">
        <v>13.75</v>
      </c>
      <c r="F1409">
        <v>12.09</v>
      </c>
      <c r="G1409" s="1" t="s">
        <v>205</v>
      </c>
      <c r="H1409">
        <v>-7.17E-2</v>
      </c>
      <c r="I1409" s="3">
        <f t="shared" si="21"/>
        <v>0.19793322734499208</v>
      </c>
    </row>
    <row r="1410" spans="1:9" x14ac:dyDescent="0.35">
      <c r="A1410" s="1" t="s">
        <v>1012</v>
      </c>
      <c r="B1410" s="2">
        <v>42095</v>
      </c>
      <c r="C1410">
        <v>15.07</v>
      </c>
      <c r="D1410">
        <v>12.58</v>
      </c>
      <c r="E1410">
        <v>15.92</v>
      </c>
      <c r="F1410">
        <v>12.4</v>
      </c>
      <c r="G1410" s="1" t="s">
        <v>1039</v>
      </c>
      <c r="H1410">
        <v>0.19750000000000001</v>
      </c>
      <c r="I1410" s="3">
        <f t="shared" ref="I1410:I1473" si="22">IF(A1411=A1410, (C1411-C1410)/C1410, 0)</f>
        <v>0.10948905109489042</v>
      </c>
    </row>
    <row r="1411" spans="1:9" x14ac:dyDescent="0.35">
      <c r="A1411" s="1" t="s">
        <v>1012</v>
      </c>
      <c r="B1411" s="2">
        <v>42125</v>
      </c>
      <c r="C1411">
        <v>16.72</v>
      </c>
      <c r="D1411">
        <v>15.33</v>
      </c>
      <c r="E1411">
        <v>16.86</v>
      </c>
      <c r="F1411">
        <v>14.68</v>
      </c>
      <c r="G1411" s="1" t="s">
        <v>135</v>
      </c>
      <c r="H1411">
        <v>0.1095</v>
      </c>
      <c r="I1411" s="3">
        <f t="shared" si="22"/>
        <v>6.9377990430622025E-2</v>
      </c>
    </row>
    <row r="1412" spans="1:9" x14ac:dyDescent="0.35">
      <c r="A1412" s="1" t="s">
        <v>1012</v>
      </c>
      <c r="B1412" s="2">
        <v>42156</v>
      </c>
      <c r="C1412">
        <v>17.88</v>
      </c>
      <c r="D1412">
        <v>16.760000000000002</v>
      </c>
      <c r="E1412">
        <v>18.09</v>
      </c>
      <c r="F1412">
        <v>16.38</v>
      </c>
      <c r="G1412" s="1" t="s">
        <v>1042</v>
      </c>
      <c r="H1412">
        <v>6.9599999999999995E-2</v>
      </c>
      <c r="I1412" s="3">
        <f t="shared" si="22"/>
        <v>-7.8299776286353782E-3</v>
      </c>
    </row>
    <row r="1413" spans="1:9" x14ac:dyDescent="0.35">
      <c r="A1413" s="1" t="s">
        <v>1012</v>
      </c>
      <c r="B1413" s="2">
        <v>42186</v>
      </c>
      <c r="C1413">
        <v>17.739999999999998</v>
      </c>
      <c r="D1413">
        <v>18.07</v>
      </c>
      <c r="E1413">
        <v>19.11</v>
      </c>
      <c r="F1413">
        <v>16.72</v>
      </c>
      <c r="G1413" s="1" t="s">
        <v>151</v>
      </c>
      <c r="H1413">
        <v>-7.9000000000000008E-3</v>
      </c>
      <c r="I1413" s="3">
        <f t="shared" si="22"/>
        <v>-6.4261555806087778E-2</v>
      </c>
    </row>
    <row r="1414" spans="1:9" x14ac:dyDescent="0.35">
      <c r="A1414" s="1" t="s">
        <v>1012</v>
      </c>
      <c r="B1414" s="2">
        <v>42217</v>
      </c>
      <c r="C1414">
        <v>16.600000000000001</v>
      </c>
      <c r="D1414">
        <v>17.75</v>
      </c>
      <c r="E1414">
        <v>18.07</v>
      </c>
      <c r="F1414">
        <v>13</v>
      </c>
      <c r="G1414" s="1" t="s">
        <v>1019</v>
      </c>
      <c r="H1414">
        <v>-6.4199999999999993E-2</v>
      </c>
      <c r="I1414" s="3">
        <f t="shared" si="22"/>
        <v>-2.4096385542170299E-3</v>
      </c>
    </row>
    <row r="1415" spans="1:9" x14ac:dyDescent="0.35">
      <c r="A1415" s="1" t="s">
        <v>1012</v>
      </c>
      <c r="B1415" s="2">
        <v>42248</v>
      </c>
      <c r="C1415">
        <v>16.559999999999999</v>
      </c>
      <c r="D1415">
        <v>16.02</v>
      </c>
      <c r="E1415">
        <v>18.100000000000001</v>
      </c>
      <c r="F1415">
        <v>15.8</v>
      </c>
      <c r="G1415" s="1" t="s">
        <v>151</v>
      </c>
      <c r="H1415">
        <v>-2.7000000000000001E-3</v>
      </c>
      <c r="I1415" s="3">
        <f t="shared" si="22"/>
        <v>-0.16666666666666655</v>
      </c>
    </row>
    <row r="1416" spans="1:9" x14ac:dyDescent="0.35">
      <c r="A1416" s="1" t="s">
        <v>1012</v>
      </c>
      <c r="B1416" s="2">
        <v>42278</v>
      </c>
      <c r="C1416">
        <v>13.8</v>
      </c>
      <c r="D1416">
        <v>16.5</v>
      </c>
      <c r="E1416">
        <v>16.66</v>
      </c>
      <c r="F1416">
        <v>13.47</v>
      </c>
      <c r="G1416" s="1" t="s">
        <v>296</v>
      </c>
      <c r="H1416">
        <v>-0.16700000000000001</v>
      </c>
      <c r="I1416" s="3">
        <f t="shared" si="22"/>
        <v>0.11231884057971006</v>
      </c>
    </row>
    <row r="1417" spans="1:9" x14ac:dyDescent="0.35">
      <c r="A1417" s="1" t="s">
        <v>1012</v>
      </c>
      <c r="B1417" s="2">
        <v>42309</v>
      </c>
      <c r="C1417">
        <v>15.35</v>
      </c>
      <c r="D1417">
        <v>13.93</v>
      </c>
      <c r="E1417">
        <v>15.64</v>
      </c>
      <c r="F1417">
        <v>13.72</v>
      </c>
      <c r="G1417" s="1" t="s">
        <v>155</v>
      </c>
      <c r="H1417">
        <v>0.11269999999999999</v>
      </c>
      <c r="I1417" s="3">
        <f t="shared" si="22"/>
        <v>4.2345276872964195E-2</v>
      </c>
    </row>
    <row r="1418" spans="1:9" x14ac:dyDescent="0.35">
      <c r="A1418" s="1" t="s">
        <v>1012</v>
      </c>
      <c r="B1418" s="2">
        <v>42339</v>
      </c>
      <c r="C1418">
        <v>16</v>
      </c>
      <c r="D1418">
        <v>15.4</v>
      </c>
      <c r="E1418">
        <v>16.239999999999998</v>
      </c>
      <c r="F1418">
        <v>14.32</v>
      </c>
      <c r="G1418" s="1" t="s">
        <v>1041</v>
      </c>
      <c r="H1418">
        <v>4.2299999999999997E-2</v>
      </c>
      <c r="I1418" s="3">
        <f t="shared" si="22"/>
        <v>-0.203125</v>
      </c>
    </row>
    <row r="1419" spans="1:9" x14ac:dyDescent="0.35">
      <c r="A1419" s="1" t="s">
        <v>1012</v>
      </c>
      <c r="B1419" s="2">
        <v>42370</v>
      </c>
      <c r="C1419">
        <v>12.75</v>
      </c>
      <c r="D1419">
        <v>15.38</v>
      </c>
      <c r="E1419">
        <v>15.43</v>
      </c>
      <c r="F1419">
        <v>12.16</v>
      </c>
      <c r="G1419" s="1" t="s">
        <v>280</v>
      </c>
      <c r="H1419">
        <v>-0.2034</v>
      </c>
      <c r="I1419" s="3">
        <f t="shared" si="22"/>
        <v>3.9215686274510358E-3</v>
      </c>
    </row>
    <row r="1420" spans="1:9" x14ac:dyDescent="0.35">
      <c r="A1420" s="1" t="s">
        <v>1012</v>
      </c>
      <c r="B1420" s="2">
        <v>42401</v>
      </c>
      <c r="C1420">
        <v>12.8</v>
      </c>
      <c r="D1420">
        <v>12.58</v>
      </c>
      <c r="E1420">
        <v>13.3</v>
      </c>
      <c r="F1420">
        <v>9.4</v>
      </c>
      <c r="G1420" s="1" t="s">
        <v>1018</v>
      </c>
      <c r="H1420">
        <v>3.8E-3</v>
      </c>
      <c r="I1420" s="3">
        <f t="shared" si="22"/>
        <v>0.19687499999999997</v>
      </c>
    </row>
    <row r="1421" spans="1:9" x14ac:dyDescent="0.35">
      <c r="A1421" s="1" t="s">
        <v>1012</v>
      </c>
      <c r="B1421" s="2">
        <v>42430</v>
      </c>
      <c r="C1421">
        <v>15.32</v>
      </c>
      <c r="D1421">
        <v>12.95</v>
      </c>
      <c r="E1421">
        <v>15.99</v>
      </c>
      <c r="F1421">
        <v>12.1</v>
      </c>
      <c r="G1421" s="1" t="s">
        <v>161</v>
      </c>
      <c r="H1421">
        <v>0.19719999999999999</v>
      </c>
      <c r="I1421" s="3">
        <f t="shared" si="22"/>
        <v>4.7650130548302902E-2</v>
      </c>
    </row>
    <row r="1422" spans="1:9" x14ac:dyDescent="0.35">
      <c r="A1422" s="1" t="s">
        <v>1012</v>
      </c>
      <c r="B1422" s="2">
        <v>42461</v>
      </c>
      <c r="C1422">
        <v>16.05</v>
      </c>
      <c r="D1422">
        <v>16.32</v>
      </c>
      <c r="E1422">
        <v>17.96</v>
      </c>
      <c r="F1422">
        <v>15.55</v>
      </c>
      <c r="G1422" s="1" t="s">
        <v>644</v>
      </c>
      <c r="H1422">
        <v>4.7800000000000002E-2</v>
      </c>
      <c r="I1422" s="3">
        <f t="shared" si="22"/>
        <v>-7.2897196261682229E-2</v>
      </c>
    </row>
    <row r="1423" spans="1:9" x14ac:dyDescent="0.35">
      <c r="A1423" s="1" t="s">
        <v>1012</v>
      </c>
      <c r="B1423" s="2">
        <v>42491</v>
      </c>
      <c r="C1423">
        <v>14.88</v>
      </c>
      <c r="D1423">
        <v>16.100000000000001</v>
      </c>
      <c r="E1423">
        <v>16.21</v>
      </c>
      <c r="F1423">
        <v>13.58</v>
      </c>
      <c r="G1423" s="1" t="s">
        <v>245</v>
      </c>
      <c r="H1423">
        <v>-7.2800000000000004E-2</v>
      </c>
      <c r="I1423" s="3">
        <f t="shared" si="22"/>
        <v>-4.9059139784946262E-2</v>
      </c>
    </row>
    <row r="1424" spans="1:9" x14ac:dyDescent="0.35">
      <c r="A1424" s="1" t="s">
        <v>1012</v>
      </c>
      <c r="B1424" s="2">
        <v>42522</v>
      </c>
      <c r="C1424">
        <v>14.15</v>
      </c>
      <c r="D1424">
        <v>14.77</v>
      </c>
      <c r="E1424">
        <v>16.059999999999999</v>
      </c>
      <c r="F1424">
        <v>12.52</v>
      </c>
      <c r="G1424" s="1" t="s">
        <v>382</v>
      </c>
      <c r="H1424">
        <v>-4.9099999999999998E-2</v>
      </c>
      <c r="I1424" s="3">
        <f t="shared" si="22"/>
        <v>0.10600706713780919</v>
      </c>
    </row>
    <row r="1425" spans="1:9" x14ac:dyDescent="0.35">
      <c r="A1425" s="1" t="s">
        <v>1012</v>
      </c>
      <c r="B1425" s="2">
        <v>42552</v>
      </c>
      <c r="C1425">
        <v>15.65</v>
      </c>
      <c r="D1425">
        <v>13.74</v>
      </c>
      <c r="E1425">
        <v>15.69</v>
      </c>
      <c r="F1425">
        <v>13.73</v>
      </c>
      <c r="G1425" s="1" t="s">
        <v>120</v>
      </c>
      <c r="H1425">
        <v>0.106</v>
      </c>
      <c r="I1425" s="3">
        <f t="shared" si="22"/>
        <v>-9.7124600638977612E-2</v>
      </c>
    </row>
    <row r="1426" spans="1:9" x14ac:dyDescent="0.35">
      <c r="A1426" s="1" t="s">
        <v>1012</v>
      </c>
      <c r="B1426" s="2">
        <v>42583</v>
      </c>
      <c r="C1426">
        <v>14.13</v>
      </c>
      <c r="D1426">
        <v>15.7</v>
      </c>
      <c r="E1426">
        <v>15.78</v>
      </c>
      <c r="F1426">
        <v>13.91</v>
      </c>
      <c r="G1426" s="1" t="s">
        <v>1040</v>
      </c>
      <c r="H1426">
        <v>-9.7000000000000003E-2</v>
      </c>
      <c r="I1426" s="3">
        <f t="shared" si="22"/>
        <v>-3.7508846426043956E-2</v>
      </c>
    </row>
    <row r="1427" spans="1:9" x14ac:dyDescent="0.35">
      <c r="A1427" s="1" t="s">
        <v>1012</v>
      </c>
      <c r="B1427" s="2">
        <v>42614</v>
      </c>
      <c r="C1427">
        <v>13.6</v>
      </c>
      <c r="D1427">
        <v>13.93</v>
      </c>
      <c r="E1427">
        <v>14.07</v>
      </c>
      <c r="F1427">
        <v>12.9</v>
      </c>
      <c r="G1427" s="1" t="s">
        <v>127</v>
      </c>
      <c r="H1427">
        <v>-3.7600000000000001E-2</v>
      </c>
      <c r="I1427" s="3">
        <f t="shared" si="22"/>
        <v>-3.0882352941176465E-2</v>
      </c>
    </row>
    <row r="1428" spans="1:9" x14ac:dyDescent="0.35">
      <c r="A1428" s="1" t="s">
        <v>1012</v>
      </c>
      <c r="B1428" s="2">
        <v>42644</v>
      </c>
      <c r="C1428">
        <v>13.18</v>
      </c>
      <c r="D1428">
        <v>14.15</v>
      </c>
      <c r="E1428">
        <v>14.38</v>
      </c>
      <c r="F1428">
        <v>12.8</v>
      </c>
      <c r="G1428" s="1" t="s">
        <v>187</v>
      </c>
      <c r="H1428">
        <v>-3.09E-2</v>
      </c>
      <c r="I1428" s="3">
        <f t="shared" si="22"/>
        <v>-4.1729893778452119E-2</v>
      </c>
    </row>
    <row r="1429" spans="1:9" x14ac:dyDescent="0.35">
      <c r="A1429" s="1" t="s">
        <v>1012</v>
      </c>
      <c r="B1429" s="2">
        <v>42675</v>
      </c>
      <c r="C1429">
        <v>12.63</v>
      </c>
      <c r="D1429">
        <v>13.2</v>
      </c>
      <c r="E1429">
        <v>13.29</v>
      </c>
      <c r="F1429">
        <v>11.88</v>
      </c>
      <c r="G1429" s="1" t="s">
        <v>1039</v>
      </c>
      <c r="H1429">
        <v>-4.2099999999999999E-2</v>
      </c>
      <c r="I1429" s="3">
        <f t="shared" si="22"/>
        <v>0.1282660332541567</v>
      </c>
    </row>
    <row r="1430" spans="1:9" x14ac:dyDescent="0.35">
      <c r="A1430" s="1" t="s">
        <v>1012</v>
      </c>
      <c r="B1430" s="2">
        <v>42705</v>
      </c>
      <c r="C1430">
        <v>14.25</v>
      </c>
      <c r="D1430">
        <v>12.55</v>
      </c>
      <c r="E1430">
        <v>14.92</v>
      </c>
      <c r="F1430">
        <v>12</v>
      </c>
      <c r="G1430" s="1" t="s">
        <v>300</v>
      </c>
      <c r="H1430">
        <v>0.12820000000000001</v>
      </c>
      <c r="I1430" s="3">
        <f t="shared" si="22"/>
        <v>0.17894736842105269</v>
      </c>
    </row>
    <row r="1431" spans="1:9" x14ac:dyDescent="0.35">
      <c r="A1431" s="1" t="s">
        <v>1012</v>
      </c>
      <c r="B1431" s="2">
        <v>42736</v>
      </c>
      <c r="C1431">
        <v>16.8</v>
      </c>
      <c r="D1431">
        <v>14.32</v>
      </c>
      <c r="E1431">
        <v>17.23</v>
      </c>
      <c r="F1431">
        <v>14.06</v>
      </c>
      <c r="G1431" s="1" t="s">
        <v>296</v>
      </c>
      <c r="H1431">
        <v>0.1789</v>
      </c>
      <c r="I1431" s="3">
        <f t="shared" si="22"/>
        <v>-7.7380952380951785E-3</v>
      </c>
    </row>
    <row r="1432" spans="1:9" x14ac:dyDescent="0.35">
      <c r="A1432" s="1" t="s">
        <v>1012</v>
      </c>
      <c r="B1432" s="2">
        <v>42767</v>
      </c>
      <c r="C1432">
        <v>16.670000000000002</v>
      </c>
      <c r="D1432">
        <v>16.87</v>
      </c>
      <c r="E1432">
        <v>19.16</v>
      </c>
      <c r="F1432">
        <v>16.13</v>
      </c>
      <c r="G1432" s="1" t="s">
        <v>1038</v>
      </c>
      <c r="H1432">
        <v>-7.7000000000000002E-3</v>
      </c>
      <c r="I1432" s="3">
        <f t="shared" si="22"/>
        <v>0.11277744451109771</v>
      </c>
    </row>
    <row r="1433" spans="1:9" x14ac:dyDescent="0.35">
      <c r="A1433" s="1" t="s">
        <v>1012</v>
      </c>
      <c r="B1433" s="2">
        <v>42795</v>
      </c>
      <c r="C1433">
        <v>18.55</v>
      </c>
      <c r="D1433">
        <v>16.95</v>
      </c>
      <c r="E1433">
        <v>18.8</v>
      </c>
      <c r="F1433">
        <v>16.190000000000001</v>
      </c>
      <c r="G1433" s="1" t="s">
        <v>380</v>
      </c>
      <c r="H1433">
        <v>0.1132</v>
      </c>
      <c r="I1433" s="3">
        <f t="shared" si="22"/>
        <v>0.12884097035040434</v>
      </c>
    </row>
    <row r="1434" spans="1:9" x14ac:dyDescent="0.35">
      <c r="A1434" s="1" t="s">
        <v>1012</v>
      </c>
      <c r="B1434" s="2">
        <v>42826</v>
      </c>
      <c r="C1434">
        <v>20.94</v>
      </c>
      <c r="D1434">
        <v>19.13</v>
      </c>
      <c r="E1434">
        <v>20.99</v>
      </c>
      <c r="F1434">
        <v>18.97</v>
      </c>
      <c r="G1434" s="1" t="s">
        <v>287</v>
      </c>
      <c r="H1434">
        <v>0.1285</v>
      </c>
      <c r="I1434" s="3">
        <f t="shared" si="22"/>
        <v>8.548233046800377E-2</v>
      </c>
    </row>
    <row r="1435" spans="1:9" x14ac:dyDescent="0.35">
      <c r="A1435" s="1" t="s">
        <v>1012</v>
      </c>
      <c r="B1435" s="2">
        <v>42856</v>
      </c>
      <c r="C1435">
        <v>22.73</v>
      </c>
      <c r="D1435">
        <v>20.99</v>
      </c>
      <c r="E1435">
        <v>22.86</v>
      </c>
      <c r="F1435">
        <v>19.38</v>
      </c>
      <c r="G1435" s="1" t="s">
        <v>293</v>
      </c>
      <c r="H1435">
        <v>8.5800000000000001E-2</v>
      </c>
      <c r="I1435" s="3">
        <f t="shared" si="22"/>
        <v>6.0712714474263046E-2</v>
      </c>
    </row>
    <row r="1436" spans="1:9" x14ac:dyDescent="0.35">
      <c r="A1436" s="1" t="s">
        <v>1012</v>
      </c>
      <c r="B1436" s="2">
        <v>42887</v>
      </c>
      <c r="C1436">
        <v>24.11</v>
      </c>
      <c r="D1436">
        <v>22.93</v>
      </c>
      <c r="E1436">
        <v>25.8</v>
      </c>
      <c r="F1436">
        <v>22.28</v>
      </c>
      <c r="G1436" s="1" t="s">
        <v>270</v>
      </c>
      <c r="H1436">
        <v>6.0400000000000002E-2</v>
      </c>
      <c r="I1436" s="3">
        <f t="shared" si="22"/>
        <v>-0.10576524263790961</v>
      </c>
    </row>
    <row r="1437" spans="1:9" x14ac:dyDescent="0.35">
      <c r="A1437" s="1" t="s">
        <v>1012</v>
      </c>
      <c r="B1437" s="2">
        <v>42917</v>
      </c>
      <c r="C1437">
        <v>21.56</v>
      </c>
      <c r="D1437">
        <v>24.68</v>
      </c>
      <c r="E1437">
        <v>24.76</v>
      </c>
      <c r="F1437">
        <v>20.21</v>
      </c>
      <c r="G1437" s="1" t="s">
        <v>395</v>
      </c>
      <c r="H1437">
        <v>-0.1055</v>
      </c>
      <c r="I1437" s="3">
        <f t="shared" si="22"/>
        <v>0.10064935064935074</v>
      </c>
    </row>
    <row r="1438" spans="1:9" x14ac:dyDescent="0.35">
      <c r="A1438" s="1" t="s">
        <v>1012</v>
      </c>
      <c r="B1438" s="2">
        <v>42948</v>
      </c>
      <c r="C1438">
        <v>23.73</v>
      </c>
      <c r="D1438">
        <v>21.53</v>
      </c>
      <c r="E1438">
        <v>24.67</v>
      </c>
      <c r="F1438">
        <v>20.75</v>
      </c>
      <c r="G1438" s="1" t="s">
        <v>1031</v>
      </c>
      <c r="H1438">
        <v>0.1003</v>
      </c>
      <c r="I1438" s="3">
        <f t="shared" si="22"/>
        <v>-4.1719342604298437E-2</v>
      </c>
    </row>
    <row r="1439" spans="1:9" x14ac:dyDescent="0.35">
      <c r="A1439" s="1" t="s">
        <v>1012</v>
      </c>
      <c r="B1439" s="2">
        <v>42979</v>
      </c>
      <c r="C1439">
        <v>22.74</v>
      </c>
      <c r="D1439">
        <v>23.74</v>
      </c>
      <c r="E1439">
        <v>25.97</v>
      </c>
      <c r="F1439">
        <v>22.36</v>
      </c>
      <c r="G1439" s="1" t="s">
        <v>253</v>
      </c>
      <c r="H1439">
        <v>-4.1599999999999998E-2</v>
      </c>
      <c r="I1439" s="3">
        <f t="shared" si="22"/>
        <v>-2.8144239226033291E-2</v>
      </c>
    </row>
    <row r="1440" spans="1:9" x14ac:dyDescent="0.35">
      <c r="A1440" s="1" t="s">
        <v>1012</v>
      </c>
      <c r="B1440" s="2">
        <v>43009</v>
      </c>
      <c r="C1440">
        <v>22.1</v>
      </c>
      <c r="D1440">
        <v>22.83</v>
      </c>
      <c r="E1440">
        <v>24.2</v>
      </c>
      <c r="F1440">
        <v>21.11</v>
      </c>
      <c r="G1440" s="1" t="s">
        <v>262</v>
      </c>
      <c r="H1440">
        <v>-2.81E-2</v>
      </c>
      <c r="I1440" s="3">
        <f t="shared" si="22"/>
        <v>-6.8325791855203682E-2</v>
      </c>
    </row>
    <row r="1441" spans="1:9" x14ac:dyDescent="0.35">
      <c r="A1441" s="1" t="s">
        <v>1012</v>
      </c>
      <c r="B1441" s="2">
        <v>43040</v>
      </c>
      <c r="C1441">
        <v>20.59</v>
      </c>
      <c r="D1441">
        <v>22.15</v>
      </c>
      <c r="E1441">
        <v>22.17</v>
      </c>
      <c r="F1441">
        <v>19.510000000000002</v>
      </c>
      <c r="G1441" s="1" t="s">
        <v>181</v>
      </c>
      <c r="H1441">
        <v>-6.8400000000000002E-2</v>
      </c>
      <c r="I1441" s="3">
        <f t="shared" si="22"/>
        <v>8.256435162700422E-3</v>
      </c>
    </row>
    <row r="1442" spans="1:9" x14ac:dyDescent="0.35">
      <c r="A1442" s="1" t="s">
        <v>1012</v>
      </c>
      <c r="B1442" s="2">
        <v>43070</v>
      </c>
      <c r="C1442">
        <v>20.76</v>
      </c>
      <c r="D1442">
        <v>20.36</v>
      </c>
      <c r="E1442">
        <v>23.16</v>
      </c>
      <c r="F1442">
        <v>20</v>
      </c>
      <c r="G1442" s="1" t="s">
        <v>259</v>
      </c>
      <c r="H1442">
        <v>8.0999999999999996E-3</v>
      </c>
      <c r="I1442" s="3">
        <f t="shared" si="22"/>
        <v>0.13776493256262037</v>
      </c>
    </row>
    <row r="1443" spans="1:9" x14ac:dyDescent="0.35">
      <c r="A1443" s="1" t="s">
        <v>1012</v>
      </c>
      <c r="B1443" s="2">
        <v>43101</v>
      </c>
      <c r="C1443">
        <v>23.62</v>
      </c>
      <c r="D1443">
        <v>20.8</v>
      </c>
      <c r="E1443">
        <v>24.03</v>
      </c>
      <c r="F1443">
        <v>20.38</v>
      </c>
      <c r="G1443" s="1" t="s">
        <v>301</v>
      </c>
      <c r="H1443">
        <v>0.13800000000000001</v>
      </c>
      <c r="I1443" s="3">
        <f t="shared" si="22"/>
        <v>-3.1752751905165112E-2</v>
      </c>
    </row>
    <row r="1444" spans="1:9" x14ac:dyDescent="0.35">
      <c r="A1444" s="1" t="s">
        <v>1012</v>
      </c>
      <c r="B1444" s="2">
        <v>43132</v>
      </c>
      <c r="C1444">
        <v>22.87</v>
      </c>
      <c r="D1444">
        <v>23.4</v>
      </c>
      <c r="E1444">
        <v>24</v>
      </c>
      <c r="F1444">
        <v>19.649999999999999</v>
      </c>
      <c r="G1444" s="1" t="s">
        <v>800</v>
      </c>
      <c r="H1444">
        <v>-3.1800000000000002E-2</v>
      </c>
      <c r="I1444" s="3">
        <f t="shared" si="22"/>
        <v>-0.22431132487975525</v>
      </c>
    </row>
    <row r="1445" spans="1:9" x14ac:dyDescent="0.35">
      <c r="A1445" s="1" t="s">
        <v>1012</v>
      </c>
      <c r="B1445" s="2">
        <v>43160</v>
      </c>
      <c r="C1445">
        <v>17.739999999999998</v>
      </c>
      <c r="D1445">
        <v>23</v>
      </c>
      <c r="E1445">
        <v>23.24</v>
      </c>
      <c r="F1445">
        <v>16.55</v>
      </c>
      <c r="G1445" s="1" t="s">
        <v>1037</v>
      </c>
      <c r="H1445">
        <v>-0.22420000000000001</v>
      </c>
      <c r="I1445" s="3">
        <f t="shared" si="22"/>
        <v>0.10428410372040595</v>
      </c>
    </row>
    <row r="1446" spans="1:9" x14ac:dyDescent="0.35">
      <c r="A1446" s="1" t="s">
        <v>1012</v>
      </c>
      <c r="B1446" s="2">
        <v>43191</v>
      </c>
      <c r="C1446">
        <v>19.59</v>
      </c>
      <c r="D1446">
        <v>17.079999999999998</v>
      </c>
      <c r="E1446">
        <v>20.63</v>
      </c>
      <c r="F1446">
        <v>16.309999999999999</v>
      </c>
      <c r="G1446" s="1" t="s">
        <v>191</v>
      </c>
      <c r="H1446">
        <v>0.1043</v>
      </c>
      <c r="I1446" s="3">
        <f t="shared" si="22"/>
        <v>-3.113833588565592E-2</v>
      </c>
    </row>
    <row r="1447" spans="1:9" x14ac:dyDescent="0.35">
      <c r="A1447" s="1" t="s">
        <v>1012</v>
      </c>
      <c r="B1447" s="2">
        <v>43221</v>
      </c>
      <c r="C1447">
        <v>18.98</v>
      </c>
      <c r="D1447">
        <v>19.57</v>
      </c>
      <c r="E1447">
        <v>20.87</v>
      </c>
      <c r="F1447">
        <v>18.23</v>
      </c>
      <c r="G1447" s="1" t="s">
        <v>257</v>
      </c>
      <c r="H1447">
        <v>-3.1199999999999999E-2</v>
      </c>
      <c r="I1447" s="3">
        <f t="shared" si="22"/>
        <v>0.20442571127502629</v>
      </c>
    </row>
    <row r="1448" spans="1:9" x14ac:dyDescent="0.35">
      <c r="A1448" s="1" t="s">
        <v>1012</v>
      </c>
      <c r="B1448" s="2">
        <v>43252</v>
      </c>
      <c r="C1448">
        <v>22.86</v>
      </c>
      <c r="D1448">
        <v>19.059999999999999</v>
      </c>
      <c r="E1448">
        <v>24.92</v>
      </c>
      <c r="F1448">
        <v>18.920000000000002</v>
      </c>
      <c r="G1448" s="1" t="s">
        <v>1036</v>
      </c>
      <c r="H1448">
        <v>0.20449999999999999</v>
      </c>
      <c r="I1448" s="3">
        <f t="shared" si="22"/>
        <v>-0.1303587051618548</v>
      </c>
    </row>
    <row r="1449" spans="1:9" x14ac:dyDescent="0.35">
      <c r="A1449" s="1" t="s">
        <v>1012</v>
      </c>
      <c r="B1449" s="2">
        <v>43282</v>
      </c>
      <c r="C1449">
        <v>19.88</v>
      </c>
      <c r="D1449">
        <v>24</v>
      </c>
      <c r="E1449">
        <v>24.32</v>
      </c>
      <c r="F1449">
        <v>19.079999999999998</v>
      </c>
      <c r="G1449" s="1" t="s">
        <v>199</v>
      </c>
      <c r="H1449">
        <v>-0.13070000000000001</v>
      </c>
      <c r="I1449" s="3">
        <f t="shared" si="22"/>
        <v>1.1569416498993986E-2</v>
      </c>
    </row>
    <row r="1450" spans="1:9" x14ac:dyDescent="0.35">
      <c r="A1450" s="1" t="s">
        <v>1012</v>
      </c>
      <c r="B1450" s="2">
        <v>43313</v>
      </c>
      <c r="C1450">
        <v>20.11</v>
      </c>
      <c r="D1450">
        <v>19.87</v>
      </c>
      <c r="E1450">
        <v>25.83</v>
      </c>
      <c r="F1450">
        <v>19.21</v>
      </c>
      <c r="G1450" s="1" t="s">
        <v>1035</v>
      </c>
      <c r="H1450">
        <v>1.18E-2</v>
      </c>
      <c r="I1450" s="3">
        <f t="shared" si="22"/>
        <v>-0.12232720039781209</v>
      </c>
    </row>
    <row r="1451" spans="1:9" x14ac:dyDescent="0.35">
      <c r="A1451" s="1" t="s">
        <v>1012</v>
      </c>
      <c r="B1451" s="2">
        <v>43344</v>
      </c>
      <c r="C1451">
        <v>17.649999999999999</v>
      </c>
      <c r="D1451">
        <v>19.8</v>
      </c>
      <c r="E1451">
        <v>21</v>
      </c>
      <c r="F1451">
        <v>16.82</v>
      </c>
      <c r="G1451" s="1" t="s">
        <v>349</v>
      </c>
      <c r="H1451">
        <v>-0.12230000000000001</v>
      </c>
      <c r="I1451" s="3">
        <f t="shared" si="22"/>
        <v>0.27422096317280453</v>
      </c>
    </row>
    <row r="1452" spans="1:9" x14ac:dyDescent="0.35">
      <c r="A1452" s="1" t="s">
        <v>1012</v>
      </c>
      <c r="B1452" s="2">
        <v>43374</v>
      </c>
      <c r="C1452">
        <v>22.49</v>
      </c>
      <c r="D1452">
        <v>20.38</v>
      </c>
      <c r="E1452">
        <v>23.14</v>
      </c>
      <c r="F1452">
        <v>16.52</v>
      </c>
      <c r="G1452" s="1" t="s">
        <v>409</v>
      </c>
      <c r="H1452">
        <v>0.27400000000000002</v>
      </c>
      <c r="I1452" s="3">
        <f t="shared" si="22"/>
        <v>3.9128501556247336E-2</v>
      </c>
    </row>
    <row r="1453" spans="1:9" x14ac:dyDescent="0.35">
      <c r="A1453" s="1" t="s">
        <v>1012</v>
      </c>
      <c r="B1453" s="2">
        <v>43405</v>
      </c>
      <c r="C1453">
        <v>23.37</v>
      </c>
      <c r="D1453">
        <v>22.55</v>
      </c>
      <c r="E1453">
        <v>24.45</v>
      </c>
      <c r="F1453">
        <v>21.67</v>
      </c>
      <c r="G1453" s="1" t="s">
        <v>200</v>
      </c>
      <c r="H1453">
        <v>3.9E-2</v>
      </c>
      <c r="I1453" s="3">
        <f t="shared" si="22"/>
        <v>-5.049208386820709E-2</v>
      </c>
    </row>
    <row r="1454" spans="1:9" x14ac:dyDescent="0.35">
      <c r="A1454" s="1" t="s">
        <v>1012</v>
      </c>
      <c r="B1454" s="2">
        <v>43435</v>
      </c>
      <c r="C1454">
        <v>22.19</v>
      </c>
      <c r="D1454">
        <v>24</v>
      </c>
      <c r="E1454">
        <v>25.3</v>
      </c>
      <c r="F1454">
        <v>19.61</v>
      </c>
      <c r="G1454" s="1" t="s">
        <v>182</v>
      </c>
      <c r="H1454">
        <v>-5.04E-2</v>
      </c>
      <c r="I1454" s="3">
        <f t="shared" si="22"/>
        <v>-7.7512392969806318E-2</v>
      </c>
    </row>
    <row r="1455" spans="1:9" x14ac:dyDescent="0.35">
      <c r="A1455" s="1" t="s">
        <v>1012</v>
      </c>
      <c r="B1455" s="2">
        <v>43466</v>
      </c>
      <c r="C1455">
        <v>20.47</v>
      </c>
      <c r="D1455">
        <v>20.41</v>
      </c>
      <c r="E1455">
        <v>23.47</v>
      </c>
      <c r="F1455">
        <v>18.62</v>
      </c>
      <c r="G1455" s="1" t="s">
        <v>1034</v>
      </c>
      <c r="H1455">
        <v>-7.7499999999999999E-2</v>
      </c>
      <c r="I1455" s="3">
        <f t="shared" si="22"/>
        <v>4.2012701514411312E-2</v>
      </c>
    </row>
    <row r="1456" spans="1:9" x14ac:dyDescent="0.35">
      <c r="A1456" s="1" t="s">
        <v>1012</v>
      </c>
      <c r="B1456" s="2">
        <v>43497</v>
      </c>
      <c r="C1456">
        <v>21.33</v>
      </c>
      <c r="D1456">
        <v>20.36</v>
      </c>
      <c r="E1456">
        <v>21.62</v>
      </c>
      <c r="F1456">
        <v>19.25</v>
      </c>
      <c r="G1456" s="1" t="s">
        <v>273</v>
      </c>
      <c r="H1456">
        <v>4.19E-2</v>
      </c>
      <c r="I1456" s="3">
        <f t="shared" si="22"/>
        <v>-0.12517580872011244</v>
      </c>
    </row>
    <row r="1457" spans="1:9" x14ac:dyDescent="0.35">
      <c r="A1457" s="1" t="s">
        <v>1012</v>
      </c>
      <c r="B1457" s="2">
        <v>43525</v>
      </c>
      <c r="C1457">
        <v>18.66</v>
      </c>
      <c r="D1457">
        <v>20.46</v>
      </c>
      <c r="E1457">
        <v>20.48</v>
      </c>
      <c r="F1457">
        <v>16.96</v>
      </c>
      <c r="G1457" s="1" t="s">
        <v>320</v>
      </c>
      <c r="H1457">
        <v>-0.12509999999999999</v>
      </c>
      <c r="I1457" s="3">
        <f t="shared" si="22"/>
        <v>-0.14737406216505894</v>
      </c>
    </row>
    <row r="1458" spans="1:9" x14ac:dyDescent="0.35">
      <c r="A1458" s="1" t="s">
        <v>1012</v>
      </c>
      <c r="B1458" s="2">
        <v>43556</v>
      </c>
      <c r="C1458">
        <v>15.91</v>
      </c>
      <c r="D1458">
        <v>18.84</v>
      </c>
      <c r="E1458">
        <v>19.739999999999998</v>
      </c>
      <c r="F1458">
        <v>15.41</v>
      </c>
      <c r="G1458" s="1" t="s">
        <v>316</v>
      </c>
      <c r="H1458">
        <v>-0.14710000000000001</v>
      </c>
      <c r="I1458" s="3">
        <f t="shared" si="22"/>
        <v>-0.22438717787554999</v>
      </c>
    </row>
    <row r="1459" spans="1:9" x14ac:dyDescent="0.35">
      <c r="A1459" s="1" t="s">
        <v>1012</v>
      </c>
      <c r="B1459" s="2">
        <v>43586</v>
      </c>
      <c r="C1459">
        <v>12.34</v>
      </c>
      <c r="D1459">
        <v>15.92</v>
      </c>
      <c r="E1459">
        <v>17.22</v>
      </c>
      <c r="F1459">
        <v>12.27</v>
      </c>
      <c r="G1459" s="1" t="s">
        <v>216</v>
      </c>
      <c r="H1459">
        <v>-0.2243</v>
      </c>
      <c r="I1459" s="3">
        <f t="shared" si="22"/>
        <v>0.20745542949756893</v>
      </c>
    </row>
    <row r="1460" spans="1:9" x14ac:dyDescent="0.35">
      <c r="A1460" s="1" t="s">
        <v>1012</v>
      </c>
      <c r="B1460" s="2">
        <v>43617</v>
      </c>
      <c r="C1460">
        <v>14.9</v>
      </c>
      <c r="D1460">
        <v>12.37</v>
      </c>
      <c r="E1460">
        <v>15.65</v>
      </c>
      <c r="F1460">
        <v>11.8</v>
      </c>
      <c r="G1460" s="1" t="s">
        <v>1033</v>
      </c>
      <c r="H1460">
        <v>0.20680000000000001</v>
      </c>
      <c r="I1460" s="3">
        <f t="shared" si="22"/>
        <v>8.1208053691275109E-2</v>
      </c>
    </row>
    <row r="1461" spans="1:9" x14ac:dyDescent="0.35">
      <c r="A1461" s="1" t="s">
        <v>1012</v>
      </c>
      <c r="B1461" s="2">
        <v>43647</v>
      </c>
      <c r="C1461">
        <v>16.11</v>
      </c>
      <c r="D1461">
        <v>15.35</v>
      </c>
      <c r="E1461">
        <v>17.739999999999998</v>
      </c>
      <c r="F1461">
        <v>14.81</v>
      </c>
      <c r="G1461" s="1" t="s">
        <v>1032</v>
      </c>
      <c r="H1461">
        <v>8.1199999999999994E-2</v>
      </c>
      <c r="I1461" s="3">
        <f t="shared" si="22"/>
        <v>-6.6418373680943527E-2</v>
      </c>
    </row>
    <row r="1462" spans="1:9" x14ac:dyDescent="0.35">
      <c r="A1462" s="1" t="s">
        <v>1012</v>
      </c>
      <c r="B1462" s="2">
        <v>43678</v>
      </c>
      <c r="C1462">
        <v>15.04</v>
      </c>
      <c r="D1462">
        <v>16.18</v>
      </c>
      <c r="E1462">
        <v>16.3</v>
      </c>
      <c r="F1462">
        <v>14.07</v>
      </c>
      <c r="G1462" s="1" t="s">
        <v>1018</v>
      </c>
      <c r="H1462">
        <v>-6.6199999999999995E-2</v>
      </c>
      <c r="I1462" s="3">
        <f t="shared" si="22"/>
        <v>6.7819148936170193E-2</v>
      </c>
    </row>
    <row r="1463" spans="1:9" x14ac:dyDescent="0.35">
      <c r="A1463" s="1" t="s">
        <v>1012</v>
      </c>
      <c r="B1463" s="2">
        <v>43709</v>
      </c>
      <c r="C1463">
        <v>16.059999999999999</v>
      </c>
      <c r="D1463">
        <v>14.94</v>
      </c>
      <c r="E1463">
        <v>16.899999999999999</v>
      </c>
      <c r="F1463">
        <v>14.56</v>
      </c>
      <c r="G1463" s="1" t="s">
        <v>1031</v>
      </c>
      <c r="H1463">
        <v>6.7599999999999993E-2</v>
      </c>
      <c r="I1463" s="3">
        <f t="shared" si="22"/>
        <v>0.30697384806973849</v>
      </c>
    </row>
    <row r="1464" spans="1:9" x14ac:dyDescent="0.35">
      <c r="A1464" s="1" t="s">
        <v>1012</v>
      </c>
      <c r="B1464" s="2">
        <v>43739</v>
      </c>
      <c r="C1464">
        <v>20.99</v>
      </c>
      <c r="D1464">
        <v>16.100000000000001</v>
      </c>
      <c r="E1464">
        <v>22.72</v>
      </c>
      <c r="F1464">
        <v>14.95</v>
      </c>
      <c r="G1464" s="1" t="s">
        <v>1030</v>
      </c>
      <c r="H1464">
        <v>0.30740000000000001</v>
      </c>
      <c r="I1464" s="3">
        <f t="shared" si="22"/>
        <v>4.8118151500714704E-2</v>
      </c>
    </row>
    <row r="1465" spans="1:9" x14ac:dyDescent="0.35">
      <c r="A1465" s="1" t="s">
        <v>1012</v>
      </c>
      <c r="B1465" s="2">
        <v>43770</v>
      </c>
      <c r="C1465">
        <v>22</v>
      </c>
      <c r="D1465">
        <v>21.09</v>
      </c>
      <c r="E1465">
        <v>24.08</v>
      </c>
      <c r="F1465">
        <v>20.62</v>
      </c>
      <c r="G1465" s="1" t="s">
        <v>202</v>
      </c>
      <c r="H1465">
        <v>4.7699999999999999E-2</v>
      </c>
      <c r="I1465" s="3">
        <f t="shared" si="22"/>
        <v>0.26772727272727276</v>
      </c>
    </row>
    <row r="1466" spans="1:9" x14ac:dyDescent="0.35">
      <c r="A1466" s="1" t="s">
        <v>1012</v>
      </c>
      <c r="B1466" s="2">
        <v>43800</v>
      </c>
      <c r="C1466">
        <v>27.89</v>
      </c>
      <c r="D1466">
        <v>21.96</v>
      </c>
      <c r="E1466">
        <v>29.02</v>
      </c>
      <c r="F1466">
        <v>21.82</v>
      </c>
      <c r="G1466" s="1" t="s">
        <v>196</v>
      </c>
      <c r="H1466">
        <v>0.26790000000000003</v>
      </c>
      <c r="I1466" s="3">
        <f t="shared" si="22"/>
        <v>0.5550376479024739</v>
      </c>
    </row>
    <row r="1467" spans="1:9" x14ac:dyDescent="0.35">
      <c r="A1467" s="1" t="s">
        <v>1012</v>
      </c>
      <c r="B1467" s="2">
        <v>43831</v>
      </c>
      <c r="C1467">
        <v>43.37</v>
      </c>
      <c r="D1467">
        <v>28.3</v>
      </c>
      <c r="E1467">
        <v>43.53</v>
      </c>
      <c r="F1467">
        <v>28.11</v>
      </c>
      <c r="G1467" s="1" t="s">
        <v>1029</v>
      </c>
      <c r="H1467">
        <v>0.55520000000000003</v>
      </c>
      <c r="I1467" s="3">
        <f t="shared" si="22"/>
        <v>2.6746599031588741E-2</v>
      </c>
    </row>
    <row r="1468" spans="1:9" x14ac:dyDescent="0.35">
      <c r="A1468" s="1" t="s">
        <v>1012</v>
      </c>
      <c r="B1468" s="2">
        <v>43862</v>
      </c>
      <c r="C1468">
        <v>44.53</v>
      </c>
      <c r="D1468">
        <v>44.91</v>
      </c>
      <c r="E1468">
        <v>64.599999999999994</v>
      </c>
      <c r="F1468">
        <v>40.770000000000003</v>
      </c>
      <c r="G1468" s="1" t="s">
        <v>1028</v>
      </c>
      <c r="H1468">
        <v>2.6800000000000001E-2</v>
      </c>
      <c r="I1468" s="3">
        <f t="shared" si="22"/>
        <v>-0.21558499887716148</v>
      </c>
    </row>
    <row r="1469" spans="1:9" x14ac:dyDescent="0.35">
      <c r="A1469" s="1" t="s">
        <v>1012</v>
      </c>
      <c r="B1469" s="2">
        <v>43891</v>
      </c>
      <c r="C1469">
        <v>34.93</v>
      </c>
      <c r="D1469">
        <v>47.42</v>
      </c>
      <c r="E1469">
        <v>53.8</v>
      </c>
      <c r="F1469">
        <v>23.37</v>
      </c>
      <c r="G1469" s="1" t="s">
        <v>874</v>
      </c>
      <c r="H1469">
        <v>-0.21560000000000001</v>
      </c>
      <c r="I1469" s="3">
        <f t="shared" si="22"/>
        <v>0.49241339822502156</v>
      </c>
    </row>
    <row r="1470" spans="1:9" x14ac:dyDescent="0.35">
      <c r="A1470" s="1" t="s">
        <v>1012</v>
      </c>
      <c r="B1470" s="2">
        <v>43922</v>
      </c>
      <c r="C1470">
        <v>52.13</v>
      </c>
      <c r="D1470">
        <v>33.6</v>
      </c>
      <c r="E1470">
        <v>57.99</v>
      </c>
      <c r="F1470">
        <v>29.76</v>
      </c>
      <c r="G1470" s="1" t="s">
        <v>1027</v>
      </c>
      <c r="H1470">
        <v>0.49209999999999998</v>
      </c>
      <c r="I1470" s="3">
        <f t="shared" si="22"/>
        <v>6.7907155188950685E-2</v>
      </c>
    </row>
    <row r="1471" spans="1:9" x14ac:dyDescent="0.35">
      <c r="A1471" s="1" t="s">
        <v>1012</v>
      </c>
      <c r="B1471" s="2">
        <v>43952</v>
      </c>
      <c r="C1471">
        <v>55.67</v>
      </c>
      <c r="D1471">
        <v>50.33</v>
      </c>
      <c r="E1471">
        <v>56.22</v>
      </c>
      <c r="F1471">
        <v>45.54</v>
      </c>
      <c r="G1471" s="1" t="s">
        <v>329</v>
      </c>
      <c r="H1471">
        <v>6.7900000000000002E-2</v>
      </c>
      <c r="I1471" s="3">
        <f t="shared" si="22"/>
        <v>0.29315609843721918</v>
      </c>
    </row>
    <row r="1472" spans="1:9" x14ac:dyDescent="0.35">
      <c r="A1472" s="1" t="s">
        <v>1012</v>
      </c>
      <c r="B1472" s="2">
        <v>43983</v>
      </c>
      <c r="C1472">
        <v>71.989999999999995</v>
      </c>
      <c r="D1472">
        <v>57.2</v>
      </c>
      <c r="E1472">
        <v>72.510000000000005</v>
      </c>
      <c r="F1472">
        <v>56.94</v>
      </c>
      <c r="G1472" s="1" t="s">
        <v>1026</v>
      </c>
      <c r="H1472">
        <v>0.29320000000000002</v>
      </c>
      <c r="I1472" s="3">
        <f t="shared" si="22"/>
        <v>0.32490623697735799</v>
      </c>
    </row>
    <row r="1473" spans="1:9" x14ac:dyDescent="0.35">
      <c r="A1473" s="1" t="s">
        <v>1012</v>
      </c>
      <c r="B1473" s="2">
        <v>44013</v>
      </c>
      <c r="C1473">
        <v>95.38</v>
      </c>
      <c r="D1473">
        <v>72.2</v>
      </c>
      <c r="E1473">
        <v>119.67</v>
      </c>
      <c r="F1473">
        <v>72.03</v>
      </c>
      <c r="G1473" s="1" t="s">
        <v>1025</v>
      </c>
      <c r="H1473">
        <v>0.32500000000000001</v>
      </c>
      <c r="I1473" s="3">
        <f t="shared" si="22"/>
        <v>0.74156007548752378</v>
      </c>
    </row>
    <row r="1474" spans="1:9" x14ac:dyDescent="0.35">
      <c r="A1474" s="1" t="s">
        <v>1012</v>
      </c>
      <c r="B1474" s="2">
        <v>44044</v>
      </c>
      <c r="C1474">
        <v>166.11</v>
      </c>
      <c r="D1474">
        <v>96.61</v>
      </c>
      <c r="E1474">
        <v>166.71</v>
      </c>
      <c r="F1474">
        <v>91</v>
      </c>
      <c r="G1474" s="1" t="s">
        <v>1024</v>
      </c>
      <c r="H1474">
        <v>0.74150000000000005</v>
      </c>
      <c r="I1474" s="3">
        <f t="shared" ref="I1474:I1526" si="23">IF(A1475=A1474, (C1475-C1474)/C1474, 0)</f>
        <v>-0.13912467641924034</v>
      </c>
    </row>
    <row r="1475" spans="1:9" x14ac:dyDescent="0.35">
      <c r="A1475" s="1" t="s">
        <v>1012</v>
      </c>
      <c r="B1475" s="2">
        <v>44075</v>
      </c>
      <c r="C1475">
        <v>143</v>
      </c>
      <c r="D1475">
        <v>167.38</v>
      </c>
      <c r="E1475">
        <v>167.5</v>
      </c>
      <c r="F1475">
        <v>109.96</v>
      </c>
      <c r="G1475" s="1" t="s">
        <v>1023</v>
      </c>
      <c r="H1475">
        <v>-0.1391</v>
      </c>
      <c r="I1475" s="3">
        <f t="shared" si="23"/>
        <v>-9.54545454545455E-2</v>
      </c>
    </row>
    <row r="1476" spans="1:9" x14ac:dyDescent="0.35">
      <c r="A1476" s="1" t="s">
        <v>1012</v>
      </c>
      <c r="B1476" s="2">
        <v>44105</v>
      </c>
      <c r="C1476">
        <v>129.35</v>
      </c>
      <c r="D1476">
        <v>146.91999999999999</v>
      </c>
      <c r="E1476">
        <v>155.30000000000001</v>
      </c>
      <c r="F1476">
        <v>126.37</v>
      </c>
      <c r="G1476" s="1" t="s">
        <v>204</v>
      </c>
      <c r="H1476">
        <v>-9.5500000000000002E-2</v>
      </c>
      <c r="I1476" s="3">
        <f t="shared" si="23"/>
        <v>0.46269810591418631</v>
      </c>
    </row>
    <row r="1477" spans="1:9" x14ac:dyDescent="0.35">
      <c r="A1477" s="1" t="s">
        <v>1012</v>
      </c>
      <c r="B1477" s="2">
        <v>44136</v>
      </c>
      <c r="C1477">
        <v>189.2</v>
      </c>
      <c r="D1477">
        <v>131.33000000000001</v>
      </c>
      <c r="E1477">
        <v>202.6</v>
      </c>
      <c r="F1477">
        <v>130.77000000000001</v>
      </c>
      <c r="G1477" s="1" t="s">
        <v>1022</v>
      </c>
      <c r="H1477">
        <v>0.4627</v>
      </c>
      <c r="I1477" s="3">
        <f t="shared" si="23"/>
        <v>0.24323467230443982</v>
      </c>
    </row>
    <row r="1478" spans="1:9" x14ac:dyDescent="0.35">
      <c r="A1478" s="1" t="s">
        <v>1012</v>
      </c>
      <c r="B1478" s="2">
        <v>44166</v>
      </c>
      <c r="C1478">
        <v>235.22</v>
      </c>
      <c r="D1478">
        <v>199.2</v>
      </c>
      <c r="E1478">
        <v>239.57</v>
      </c>
      <c r="F1478">
        <v>180.4</v>
      </c>
      <c r="G1478" s="1" t="s">
        <v>1021</v>
      </c>
      <c r="H1478">
        <v>0.24329999999999999</v>
      </c>
      <c r="I1478" s="3">
        <f t="shared" si="23"/>
        <v>0.12452172434316806</v>
      </c>
    </row>
    <row r="1479" spans="1:9" x14ac:dyDescent="0.35">
      <c r="A1479" s="1" t="s">
        <v>1012</v>
      </c>
      <c r="B1479" s="2">
        <v>44197</v>
      </c>
      <c r="C1479">
        <v>264.51</v>
      </c>
      <c r="D1479">
        <v>239.82</v>
      </c>
      <c r="E1479">
        <v>300.13</v>
      </c>
      <c r="F1479">
        <v>239.06</v>
      </c>
      <c r="G1479" s="1" t="s">
        <v>384</v>
      </c>
      <c r="H1479">
        <v>0.1245</v>
      </c>
      <c r="I1479" s="3">
        <f t="shared" si="23"/>
        <v>-0.14872783637669656</v>
      </c>
    </row>
    <row r="1480" spans="1:9" x14ac:dyDescent="0.35">
      <c r="A1480" s="1" t="s">
        <v>1012</v>
      </c>
      <c r="B1480" s="2">
        <v>44228</v>
      </c>
      <c r="C1480">
        <v>225.17</v>
      </c>
      <c r="D1480">
        <v>271.43</v>
      </c>
      <c r="E1480">
        <v>293.5</v>
      </c>
      <c r="F1480">
        <v>206.33</v>
      </c>
      <c r="G1480" s="1" t="s">
        <v>66</v>
      </c>
      <c r="H1480">
        <v>-0.1487</v>
      </c>
      <c r="I1480" s="3">
        <f t="shared" si="23"/>
        <v>-1.123595505617978E-2</v>
      </c>
    </row>
    <row r="1481" spans="1:9" x14ac:dyDescent="0.35">
      <c r="A1481" s="1" t="s">
        <v>1012</v>
      </c>
      <c r="B1481" s="2">
        <v>44256</v>
      </c>
      <c r="C1481">
        <v>222.64</v>
      </c>
      <c r="D1481">
        <v>230.04</v>
      </c>
      <c r="E1481">
        <v>240.37</v>
      </c>
      <c r="F1481">
        <v>179.83</v>
      </c>
      <c r="G1481" s="1" t="s">
        <v>1020</v>
      </c>
      <c r="H1481">
        <v>-1.12E-2</v>
      </c>
      <c r="I1481" s="3">
        <f t="shared" si="23"/>
        <v>6.2163133309378386E-2</v>
      </c>
    </row>
    <row r="1482" spans="1:9" x14ac:dyDescent="0.35">
      <c r="A1482" s="1" t="s">
        <v>1012</v>
      </c>
      <c r="B1482" s="2">
        <v>44287</v>
      </c>
      <c r="C1482">
        <v>236.48</v>
      </c>
      <c r="D1482">
        <v>229.46</v>
      </c>
      <c r="E1482">
        <v>260.26</v>
      </c>
      <c r="F1482">
        <v>219.81</v>
      </c>
      <c r="G1482" s="1" t="s">
        <v>246</v>
      </c>
      <c r="H1482">
        <v>6.2100000000000002E-2</v>
      </c>
      <c r="I1482" s="3">
        <f t="shared" si="23"/>
        <v>-0.11869925575101486</v>
      </c>
    </row>
    <row r="1483" spans="1:9" x14ac:dyDescent="0.35">
      <c r="A1483" s="1" t="s">
        <v>1012</v>
      </c>
      <c r="B1483" s="2">
        <v>44317</v>
      </c>
      <c r="C1483">
        <v>208.41</v>
      </c>
      <c r="D1483">
        <v>234.6</v>
      </c>
      <c r="E1483">
        <v>235.33</v>
      </c>
      <c r="F1483">
        <v>182.33</v>
      </c>
      <c r="G1483" s="1" t="s">
        <v>189</v>
      </c>
      <c r="H1483">
        <v>-0.1187</v>
      </c>
      <c r="I1483" s="3">
        <f t="shared" si="23"/>
        <v>8.7135933976296709E-2</v>
      </c>
    </row>
    <row r="1484" spans="1:9" x14ac:dyDescent="0.35">
      <c r="A1484" s="1" t="s">
        <v>1012</v>
      </c>
      <c r="B1484" s="2">
        <v>44348</v>
      </c>
      <c r="C1484">
        <v>226.57</v>
      </c>
      <c r="D1484">
        <v>209.27</v>
      </c>
      <c r="E1484">
        <v>232.54</v>
      </c>
      <c r="F1484">
        <v>190.41</v>
      </c>
      <c r="G1484" s="1" t="s">
        <v>255</v>
      </c>
      <c r="H1484">
        <v>8.7099999999999997E-2</v>
      </c>
      <c r="I1484" s="3">
        <f t="shared" si="23"/>
        <v>1.1034117491283047E-2</v>
      </c>
    </row>
    <row r="1485" spans="1:9" x14ac:dyDescent="0.35">
      <c r="A1485" s="1" t="s">
        <v>1012</v>
      </c>
      <c r="B1485" s="2">
        <v>44378</v>
      </c>
      <c r="C1485">
        <v>229.07</v>
      </c>
      <c r="D1485">
        <v>227.97</v>
      </c>
      <c r="E1485">
        <v>233.33</v>
      </c>
      <c r="F1485">
        <v>206.82</v>
      </c>
      <c r="G1485" s="1" t="s">
        <v>115</v>
      </c>
      <c r="H1485">
        <v>1.0999999999999999E-2</v>
      </c>
      <c r="I1485" s="3">
        <f t="shared" si="23"/>
        <v>7.0589776050988859E-2</v>
      </c>
    </row>
    <row r="1486" spans="1:9" x14ac:dyDescent="0.35">
      <c r="A1486" s="1" t="s">
        <v>1012</v>
      </c>
      <c r="B1486" s="2">
        <v>44409</v>
      </c>
      <c r="C1486">
        <v>245.24</v>
      </c>
      <c r="D1486">
        <v>233.33</v>
      </c>
      <c r="E1486">
        <v>246.8</v>
      </c>
      <c r="F1486">
        <v>216.28</v>
      </c>
      <c r="G1486" s="1" t="s">
        <v>371</v>
      </c>
      <c r="H1486">
        <v>7.0599999999999996E-2</v>
      </c>
      <c r="I1486" s="3">
        <f t="shared" si="23"/>
        <v>5.4028706573152827E-2</v>
      </c>
    </row>
    <row r="1487" spans="1:9" x14ac:dyDescent="0.35">
      <c r="A1487" s="1" t="s">
        <v>1012</v>
      </c>
      <c r="B1487" s="2">
        <v>44440</v>
      </c>
      <c r="C1487">
        <v>258.49</v>
      </c>
      <c r="D1487">
        <v>244.69</v>
      </c>
      <c r="E1487">
        <v>266.33</v>
      </c>
      <c r="F1487">
        <v>236.28</v>
      </c>
      <c r="G1487" s="1" t="s">
        <v>154</v>
      </c>
      <c r="H1487">
        <v>5.3999999999999999E-2</v>
      </c>
      <c r="I1487" s="3">
        <f t="shared" si="23"/>
        <v>0.43653526248597613</v>
      </c>
    </row>
    <row r="1488" spans="1:9" x14ac:dyDescent="0.35">
      <c r="A1488" s="1" t="s">
        <v>1012</v>
      </c>
      <c r="B1488" s="2">
        <v>44470</v>
      </c>
      <c r="C1488">
        <v>371.33</v>
      </c>
      <c r="D1488">
        <v>259.47000000000003</v>
      </c>
      <c r="E1488">
        <v>371.74</v>
      </c>
      <c r="F1488">
        <v>254.53</v>
      </c>
      <c r="G1488" s="1" t="s">
        <v>168</v>
      </c>
      <c r="H1488">
        <v>0.4365</v>
      </c>
      <c r="I1488" s="3">
        <f t="shared" si="23"/>
        <v>2.7630409608703825E-2</v>
      </c>
    </row>
    <row r="1489" spans="1:9" x14ac:dyDescent="0.35">
      <c r="A1489" s="1" t="s">
        <v>1012</v>
      </c>
      <c r="B1489" s="2">
        <v>44501</v>
      </c>
      <c r="C1489">
        <v>381.59</v>
      </c>
      <c r="D1489">
        <v>381.67</v>
      </c>
      <c r="E1489">
        <v>414.5</v>
      </c>
      <c r="F1489">
        <v>326.2</v>
      </c>
      <c r="G1489" s="1" t="s">
        <v>274</v>
      </c>
      <c r="H1489">
        <v>2.76E-2</v>
      </c>
      <c r="I1489" s="3">
        <f t="shared" si="23"/>
        <v>-7.6862601221205973E-2</v>
      </c>
    </row>
    <row r="1490" spans="1:9" x14ac:dyDescent="0.35">
      <c r="A1490" s="1" t="s">
        <v>1012</v>
      </c>
      <c r="B1490" s="2">
        <v>44531</v>
      </c>
      <c r="C1490">
        <v>352.26</v>
      </c>
      <c r="D1490">
        <v>386.9</v>
      </c>
      <c r="E1490">
        <v>390.95</v>
      </c>
      <c r="F1490">
        <v>295.37</v>
      </c>
      <c r="G1490" s="1" t="s">
        <v>248</v>
      </c>
      <c r="H1490">
        <v>-7.6899999999999996E-2</v>
      </c>
      <c r="I1490" s="3">
        <f t="shared" si="23"/>
        <v>-0.11360926588315444</v>
      </c>
    </row>
    <row r="1491" spans="1:9" x14ac:dyDescent="0.35">
      <c r="A1491" s="1" t="s">
        <v>1012</v>
      </c>
      <c r="B1491" s="2">
        <v>44562</v>
      </c>
      <c r="C1491">
        <v>312.24</v>
      </c>
      <c r="D1491">
        <v>382.58</v>
      </c>
      <c r="E1491">
        <v>402.67</v>
      </c>
      <c r="F1491">
        <v>264</v>
      </c>
      <c r="G1491" s="1" t="s">
        <v>282</v>
      </c>
      <c r="H1491">
        <v>-0.11360000000000001</v>
      </c>
      <c r="I1491" s="3">
        <f t="shared" si="23"/>
        <v>-7.0778888034845056E-2</v>
      </c>
    </row>
    <row r="1492" spans="1:9" x14ac:dyDescent="0.35">
      <c r="A1492" s="1" t="s">
        <v>1012</v>
      </c>
      <c r="B1492" s="2">
        <v>44593</v>
      </c>
      <c r="C1492">
        <v>290.14</v>
      </c>
      <c r="D1492">
        <v>311.74</v>
      </c>
      <c r="E1492">
        <v>315.92</v>
      </c>
      <c r="F1492">
        <v>233.33</v>
      </c>
      <c r="G1492" s="1" t="s">
        <v>169</v>
      </c>
      <c r="H1492">
        <v>-7.0800000000000002E-2</v>
      </c>
      <c r="I1492" s="3">
        <f t="shared" si="23"/>
        <v>0.23802302336802925</v>
      </c>
    </row>
    <row r="1493" spans="1:9" x14ac:dyDescent="0.35">
      <c r="A1493" s="1" t="s">
        <v>1012</v>
      </c>
      <c r="B1493" s="2">
        <v>44621</v>
      </c>
      <c r="C1493">
        <v>359.2</v>
      </c>
      <c r="D1493">
        <v>289.89</v>
      </c>
      <c r="E1493">
        <v>371.59</v>
      </c>
      <c r="F1493">
        <v>252.01</v>
      </c>
      <c r="G1493" s="1" t="s">
        <v>1019</v>
      </c>
      <c r="H1493">
        <v>0.23799999999999999</v>
      </c>
      <c r="I1493" s="3">
        <f t="shared" si="23"/>
        <v>-0.19195434298440978</v>
      </c>
    </row>
    <row r="1494" spans="1:9" x14ac:dyDescent="0.35">
      <c r="A1494" s="1" t="s">
        <v>1012</v>
      </c>
      <c r="B1494" s="2">
        <v>44652</v>
      </c>
      <c r="C1494">
        <v>290.25</v>
      </c>
      <c r="D1494">
        <v>360.38</v>
      </c>
      <c r="E1494">
        <v>384.29</v>
      </c>
      <c r="F1494">
        <v>273.89999999999998</v>
      </c>
      <c r="G1494" s="1" t="s">
        <v>244</v>
      </c>
      <c r="H1494">
        <v>-0.19189999999999999</v>
      </c>
      <c r="I1494" s="3">
        <f t="shared" si="23"/>
        <v>-0.12919896640826872</v>
      </c>
    </row>
    <row r="1495" spans="1:9" x14ac:dyDescent="0.35">
      <c r="A1495" s="1" t="s">
        <v>1012</v>
      </c>
      <c r="B1495" s="2">
        <v>44682</v>
      </c>
      <c r="C1495">
        <v>252.75</v>
      </c>
      <c r="D1495">
        <v>286.92</v>
      </c>
      <c r="E1495">
        <v>318.5</v>
      </c>
      <c r="F1495">
        <v>206.86</v>
      </c>
      <c r="G1495" s="1" t="s">
        <v>274</v>
      </c>
      <c r="H1495">
        <v>-0.12920000000000001</v>
      </c>
      <c r="I1495" s="3">
        <f t="shared" si="23"/>
        <v>-0.11188921859545005</v>
      </c>
    </row>
    <row r="1496" spans="1:9" x14ac:dyDescent="0.35">
      <c r="A1496" s="1" t="s">
        <v>1012</v>
      </c>
      <c r="B1496" s="2">
        <v>44713</v>
      </c>
      <c r="C1496">
        <v>224.47</v>
      </c>
      <c r="D1496">
        <v>251.72</v>
      </c>
      <c r="E1496">
        <v>264.20999999999998</v>
      </c>
      <c r="F1496">
        <v>208.69</v>
      </c>
      <c r="G1496" s="1" t="s">
        <v>1018</v>
      </c>
      <c r="H1496">
        <v>-0.1119</v>
      </c>
      <c r="I1496" s="3">
        <f t="shared" si="23"/>
        <v>0.32378491557891914</v>
      </c>
    </row>
    <row r="1497" spans="1:9" x14ac:dyDescent="0.35">
      <c r="A1497" s="1" t="s">
        <v>1012</v>
      </c>
      <c r="B1497" s="2">
        <v>44743</v>
      </c>
      <c r="C1497">
        <v>297.14999999999998</v>
      </c>
      <c r="D1497">
        <v>227</v>
      </c>
      <c r="E1497">
        <v>298.32</v>
      </c>
      <c r="F1497">
        <v>216.17</v>
      </c>
      <c r="G1497" s="1" t="s">
        <v>287</v>
      </c>
      <c r="H1497">
        <v>0.32379999999999998</v>
      </c>
      <c r="I1497" s="3">
        <f t="shared" si="23"/>
        <v>-7.2488642099949402E-2</v>
      </c>
    </row>
    <row r="1498" spans="1:9" x14ac:dyDescent="0.35">
      <c r="A1498" s="1" t="s">
        <v>1012</v>
      </c>
      <c r="B1498" s="2">
        <v>44774</v>
      </c>
      <c r="C1498">
        <v>275.61</v>
      </c>
      <c r="D1498">
        <v>301.27</v>
      </c>
      <c r="E1498">
        <v>314.67</v>
      </c>
      <c r="F1498">
        <v>271.81</v>
      </c>
      <c r="G1498" s="1" t="s">
        <v>263</v>
      </c>
      <c r="H1498">
        <v>-7.2499999999999995E-2</v>
      </c>
      <c r="I1498" s="3">
        <f t="shared" si="23"/>
        <v>-3.7589347266064416E-2</v>
      </c>
    </row>
    <row r="1499" spans="1:9" x14ac:dyDescent="0.35">
      <c r="A1499" s="1" t="s">
        <v>1012</v>
      </c>
      <c r="B1499" s="2">
        <v>44805</v>
      </c>
      <c r="C1499">
        <v>265.25</v>
      </c>
      <c r="D1499">
        <v>272.58</v>
      </c>
      <c r="E1499">
        <v>313.8</v>
      </c>
      <c r="F1499">
        <v>262.47000000000003</v>
      </c>
      <c r="G1499" s="1" t="s">
        <v>373</v>
      </c>
      <c r="H1499">
        <v>-3.7600000000000001E-2</v>
      </c>
      <c r="I1499" s="3">
        <f t="shared" si="23"/>
        <v>-0.14216776625824698</v>
      </c>
    </row>
    <row r="1500" spans="1:9" x14ac:dyDescent="0.35">
      <c r="A1500" s="1" t="s">
        <v>1012</v>
      </c>
      <c r="B1500" s="2">
        <v>44835</v>
      </c>
      <c r="C1500">
        <v>227.54</v>
      </c>
      <c r="D1500">
        <v>254.5</v>
      </c>
      <c r="E1500">
        <v>257.5</v>
      </c>
      <c r="F1500">
        <v>198.59</v>
      </c>
      <c r="G1500" s="1" t="s">
        <v>292</v>
      </c>
      <c r="H1500">
        <v>-0.14219999999999999</v>
      </c>
      <c r="I1500" s="3">
        <f t="shared" si="23"/>
        <v>-0.14432627230377079</v>
      </c>
    </row>
    <row r="1501" spans="1:9" x14ac:dyDescent="0.35">
      <c r="A1501" s="1" t="s">
        <v>1012</v>
      </c>
      <c r="B1501" s="2">
        <v>44866</v>
      </c>
      <c r="C1501">
        <v>194.7</v>
      </c>
      <c r="D1501">
        <v>234.05</v>
      </c>
      <c r="E1501">
        <v>237.4</v>
      </c>
      <c r="F1501">
        <v>166.18</v>
      </c>
      <c r="G1501" s="1" t="s">
        <v>272</v>
      </c>
      <c r="H1501">
        <v>-0.14430000000000001</v>
      </c>
      <c r="I1501" s="3">
        <f t="shared" si="23"/>
        <v>-0.36733436055469948</v>
      </c>
    </row>
    <row r="1502" spans="1:9" x14ac:dyDescent="0.35">
      <c r="A1502" s="1" t="s">
        <v>1012</v>
      </c>
      <c r="B1502" s="2">
        <v>44896</v>
      </c>
      <c r="C1502">
        <v>123.18</v>
      </c>
      <c r="D1502">
        <v>197.08</v>
      </c>
      <c r="E1502">
        <v>198.92</v>
      </c>
      <c r="F1502">
        <v>108.24</v>
      </c>
      <c r="G1502" s="1" t="s">
        <v>349</v>
      </c>
      <c r="H1502">
        <v>-0.36730000000000002</v>
      </c>
      <c r="I1502" s="3">
        <f t="shared" si="23"/>
        <v>0.40623477837311245</v>
      </c>
    </row>
    <row r="1503" spans="1:9" x14ac:dyDescent="0.35">
      <c r="A1503" s="1" t="s">
        <v>1012</v>
      </c>
      <c r="B1503" s="2">
        <v>44927</v>
      </c>
      <c r="C1503">
        <v>173.22</v>
      </c>
      <c r="D1503">
        <v>118.47</v>
      </c>
      <c r="E1503">
        <v>180.68</v>
      </c>
      <c r="F1503">
        <v>101.81</v>
      </c>
      <c r="G1503" s="1" t="s">
        <v>1017</v>
      </c>
      <c r="H1503">
        <v>0.40620000000000001</v>
      </c>
      <c r="I1503" s="3">
        <f t="shared" si="23"/>
        <v>0.18756494631104959</v>
      </c>
    </row>
    <row r="1504" spans="1:9" x14ac:dyDescent="0.35">
      <c r="A1504" s="1" t="s">
        <v>1012</v>
      </c>
      <c r="B1504" s="2">
        <v>44958</v>
      </c>
      <c r="C1504">
        <v>205.71</v>
      </c>
      <c r="D1504">
        <v>173.89</v>
      </c>
      <c r="E1504">
        <v>217.65</v>
      </c>
      <c r="F1504">
        <v>169.93</v>
      </c>
      <c r="G1504" s="1" t="s">
        <v>1016</v>
      </c>
      <c r="H1504">
        <v>0.18759999999999999</v>
      </c>
      <c r="I1504" s="3">
        <f t="shared" si="23"/>
        <v>8.507121676146031E-3</v>
      </c>
    </row>
    <row r="1505" spans="1:9" x14ac:dyDescent="0.35">
      <c r="A1505" s="1" t="s">
        <v>1012</v>
      </c>
      <c r="B1505" s="2">
        <v>44986</v>
      </c>
      <c r="C1505">
        <v>207.46</v>
      </c>
      <c r="D1505">
        <v>206.21</v>
      </c>
      <c r="E1505">
        <v>207.79</v>
      </c>
      <c r="F1505">
        <v>163.91</v>
      </c>
      <c r="G1505" s="1" t="s">
        <v>354</v>
      </c>
      <c r="H1505">
        <v>8.5000000000000006E-3</v>
      </c>
      <c r="I1505" s="3">
        <f t="shared" si="23"/>
        <v>-0.2079919020534079</v>
      </c>
    </row>
    <row r="1506" spans="1:9" x14ac:dyDescent="0.35">
      <c r="A1506" s="1" t="s">
        <v>1012</v>
      </c>
      <c r="B1506" s="2">
        <v>45017</v>
      </c>
      <c r="C1506">
        <v>164.31</v>
      </c>
      <c r="D1506">
        <v>199.91</v>
      </c>
      <c r="E1506">
        <v>202.69</v>
      </c>
      <c r="F1506">
        <v>152.37</v>
      </c>
      <c r="G1506" s="1" t="s">
        <v>304</v>
      </c>
      <c r="H1506">
        <v>-0.20799999999999999</v>
      </c>
      <c r="I1506" s="3">
        <f t="shared" si="23"/>
        <v>0.24112957215020392</v>
      </c>
    </row>
    <row r="1507" spans="1:9" x14ac:dyDescent="0.35">
      <c r="A1507" s="1" t="s">
        <v>1012</v>
      </c>
      <c r="B1507" s="2">
        <v>45047</v>
      </c>
      <c r="C1507">
        <v>203.93</v>
      </c>
      <c r="D1507">
        <v>163.16999999999999</v>
      </c>
      <c r="E1507">
        <v>204.48</v>
      </c>
      <c r="F1507">
        <v>158.83000000000001</v>
      </c>
      <c r="G1507" s="1" t="s">
        <v>268</v>
      </c>
      <c r="H1507">
        <v>0.24110000000000001</v>
      </c>
      <c r="I1507" s="3">
        <f t="shared" si="23"/>
        <v>0.28362673466385513</v>
      </c>
    </row>
    <row r="1508" spans="1:9" x14ac:dyDescent="0.35">
      <c r="A1508" s="1" t="s">
        <v>1012</v>
      </c>
      <c r="B1508" s="2">
        <v>45078</v>
      </c>
      <c r="C1508">
        <v>261.77</v>
      </c>
      <c r="D1508">
        <v>202.59</v>
      </c>
      <c r="E1508">
        <v>276.99</v>
      </c>
      <c r="F1508">
        <v>199.37</v>
      </c>
      <c r="G1508" s="1" t="s">
        <v>1015</v>
      </c>
      <c r="H1508">
        <v>0.28360000000000002</v>
      </c>
      <c r="I1508" s="3">
        <f t="shared" si="23"/>
        <v>2.1622034610536064E-2</v>
      </c>
    </row>
    <row r="1509" spans="1:9" x14ac:dyDescent="0.35">
      <c r="A1509" s="1" t="s">
        <v>1012</v>
      </c>
      <c r="B1509" s="2">
        <v>45108</v>
      </c>
      <c r="C1509">
        <v>267.43</v>
      </c>
      <c r="D1509">
        <v>276.49</v>
      </c>
      <c r="E1509">
        <v>299.29000000000002</v>
      </c>
      <c r="F1509">
        <v>254.12</v>
      </c>
      <c r="G1509" s="1" t="s">
        <v>1014</v>
      </c>
      <c r="H1509">
        <v>2.1600000000000001E-2</v>
      </c>
      <c r="I1509" s="3">
        <f t="shared" si="23"/>
        <v>-3.4962420072542431E-2</v>
      </c>
    </row>
    <row r="1510" spans="1:9" x14ac:dyDescent="0.35">
      <c r="A1510" s="1" t="s">
        <v>1012</v>
      </c>
      <c r="B1510" s="2">
        <v>45139</v>
      </c>
      <c r="C1510">
        <v>258.08</v>
      </c>
      <c r="D1510">
        <v>266.26</v>
      </c>
      <c r="E1510">
        <v>266.47000000000003</v>
      </c>
      <c r="F1510">
        <v>212.36</v>
      </c>
      <c r="G1510" s="1" t="s">
        <v>204</v>
      </c>
      <c r="H1510">
        <v>-3.5000000000000003E-2</v>
      </c>
      <c r="I1510" s="3">
        <f t="shared" si="23"/>
        <v>-3.0455672659640366E-2</v>
      </c>
    </row>
    <row r="1511" spans="1:9" x14ac:dyDescent="0.35">
      <c r="A1511" s="1" t="s">
        <v>1012</v>
      </c>
      <c r="B1511" s="2">
        <v>45170</v>
      </c>
      <c r="C1511">
        <v>250.22</v>
      </c>
      <c r="D1511">
        <v>257.26</v>
      </c>
      <c r="E1511">
        <v>278.98</v>
      </c>
      <c r="F1511">
        <v>234.58</v>
      </c>
      <c r="G1511" s="1" t="s">
        <v>353</v>
      </c>
      <c r="H1511">
        <v>-3.0499999999999999E-2</v>
      </c>
      <c r="I1511" s="3">
        <f t="shared" si="23"/>
        <v>-0.19734633522500197</v>
      </c>
    </row>
    <row r="1512" spans="1:9" x14ac:dyDescent="0.35">
      <c r="A1512" s="1" t="s">
        <v>1012</v>
      </c>
      <c r="B1512" s="2">
        <v>45200</v>
      </c>
      <c r="C1512">
        <v>200.84</v>
      </c>
      <c r="D1512">
        <v>244.81</v>
      </c>
      <c r="E1512">
        <v>268.94</v>
      </c>
      <c r="F1512">
        <v>194.07</v>
      </c>
      <c r="G1512" s="1" t="s">
        <v>199</v>
      </c>
      <c r="H1512">
        <v>-0.1973</v>
      </c>
      <c r="I1512" s="3">
        <f t="shared" si="23"/>
        <v>0.19537940649273058</v>
      </c>
    </row>
    <row r="1513" spans="1:9" x14ac:dyDescent="0.35">
      <c r="A1513" s="1" t="s">
        <v>1012</v>
      </c>
      <c r="B1513" s="2">
        <v>45231</v>
      </c>
      <c r="C1513">
        <v>240.08</v>
      </c>
      <c r="D1513">
        <v>204.04</v>
      </c>
      <c r="E1513">
        <v>252.75</v>
      </c>
      <c r="F1513">
        <v>197.85</v>
      </c>
      <c r="G1513" s="1" t="s">
        <v>381</v>
      </c>
      <c r="H1513">
        <v>0.19539999999999999</v>
      </c>
      <c r="I1513" s="3">
        <f t="shared" si="23"/>
        <v>3.4988337220926265E-2</v>
      </c>
    </row>
    <row r="1514" spans="1:9" x14ac:dyDescent="0.35">
      <c r="A1514" s="1" t="s">
        <v>1012</v>
      </c>
      <c r="B1514" s="2">
        <v>45261</v>
      </c>
      <c r="C1514">
        <v>248.48</v>
      </c>
      <c r="D1514">
        <v>233.14</v>
      </c>
      <c r="E1514">
        <v>265.13</v>
      </c>
      <c r="F1514">
        <v>228.2</v>
      </c>
      <c r="G1514" s="1" t="s">
        <v>352</v>
      </c>
      <c r="H1514">
        <v>3.5000000000000003E-2</v>
      </c>
      <c r="I1514" s="3">
        <f t="shared" si="23"/>
        <v>-0.24625724404378621</v>
      </c>
    </row>
    <row r="1515" spans="1:9" x14ac:dyDescent="0.35">
      <c r="A1515" s="1" t="s">
        <v>1012</v>
      </c>
      <c r="B1515" s="2">
        <v>45292</v>
      </c>
      <c r="C1515">
        <v>187.29</v>
      </c>
      <c r="D1515">
        <v>250.08</v>
      </c>
      <c r="E1515">
        <v>251.25</v>
      </c>
      <c r="F1515">
        <v>180.06</v>
      </c>
      <c r="G1515" s="1" t="s">
        <v>198</v>
      </c>
      <c r="H1515">
        <v>-0.24629999999999999</v>
      </c>
      <c r="I1515" s="3">
        <f t="shared" si="23"/>
        <v>7.790058198515673E-2</v>
      </c>
    </row>
    <row r="1516" spans="1:9" x14ac:dyDescent="0.35">
      <c r="A1516" s="1" t="s">
        <v>1012</v>
      </c>
      <c r="B1516" s="2">
        <v>45323</v>
      </c>
      <c r="C1516">
        <v>201.88</v>
      </c>
      <c r="D1516">
        <v>188.5</v>
      </c>
      <c r="E1516">
        <v>205.6</v>
      </c>
      <c r="F1516">
        <v>175.01</v>
      </c>
      <c r="G1516" s="1" t="s">
        <v>267</v>
      </c>
      <c r="H1516">
        <v>7.7899999999999997E-2</v>
      </c>
      <c r="I1516" s="3">
        <f t="shared" si="23"/>
        <v>-0.1292351892213196</v>
      </c>
    </row>
    <row r="1517" spans="1:9" x14ac:dyDescent="0.35">
      <c r="A1517" s="1" t="s">
        <v>1012</v>
      </c>
      <c r="B1517" s="2">
        <v>45352</v>
      </c>
      <c r="C1517">
        <v>175.79</v>
      </c>
      <c r="D1517">
        <v>200.52</v>
      </c>
      <c r="E1517">
        <v>204.52</v>
      </c>
      <c r="F1517">
        <v>160.51</v>
      </c>
      <c r="G1517" s="1" t="s">
        <v>394</v>
      </c>
      <c r="H1517">
        <v>-0.12920000000000001</v>
      </c>
      <c r="I1517" s="3">
        <f t="shared" si="23"/>
        <v>4.260765686330286E-2</v>
      </c>
    </row>
    <row r="1518" spans="1:9" x14ac:dyDescent="0.35">
      <c r="A1518" s="1" t="s">
        <v>1012</v>
      </c>
      <c r="B1518" s="2">
        <v>45383</v>
      </c>
      <c r="C1518">
        <v>183.28</v>
      </c>
      <c r="D1518">
        <v>176.17</v>
      </c>
      <c r="E1518">
        <v>198.87</v>
      </c>
      <c r="F1518">
        <v>138.80000000000001</v>
      </c>
      <c r="G1518" s="1" t="s">
        <v>285</v>
      </c>
      <c r="H1518">
        <v>4.2599999999999999E-2</v>
      </c>
      <c r="I1518" s="3">
        <f t="shared" si="23"/>
        <v>-2.8371890004364846E-2</v>
      </c>
    </row>
    <row r="1519" spans="1:9" x14ac:dyDescent="0.35">
      <c r="A1519" s="1" t="s">
        <v>1012</v>
      </c>
      <c r="B1519" s="2">
        <v>45413</v>
      </c>
      <c r="C1519">
        <v>178.08</v>
      </c>
      <c r="D1519">
        <v>182</v>
      </c>
      <c r="E1519">
        <v>187.56</v>
      </c>
      <c r="F1519">
        <v>167.75</v>
      </c>
      <c r="G1519" s="1" t="s">
        <v>253</v>
      </c>
      <c r="H1519">
        <v>-2.8400000000000002E-2</v>
      </c>
      <c r="I1519" s="3">
        <f t="shared" si="23"/>
        <v>0.11118598382749316</v>
      </c>
    </row>
    <row r="1520" spans="1:9" x14ac:dyDescent="0.35">
      <c r="A1520" s="1" t="s">
        <v>1012</v>
      </c>
      <c r="B1520" s="2">
        <v>45444</v>
      </c>
      <c r="C1520">
        <v>197.88</v>
      </c>
      <c r="D1520">
        <v>178.13</v>
      </c>
      <c r="E1520">
        <v>203.2</v>
      </c>
      <c r="F1520">
        <v>167.41</v>
      </c>
      <c r="G1520" s="1" t="s">
        <v>165</v>
      </c>
      <c r="H1520">
        <v>0.11119999999999999</v>
      </c>
      <c r="I1520" s="3">
        <f t="shared" si="23"/>
        <v>0.17278148372751162</v>
      </c>
    </row>
    <row r="1521" spans="1:9" x14ac:dyDescent="0.35">
      <c r="A1521" s="1" t="s">
        <v>1012</v>
      </c>
      <c r="B1521" s="2">
        <v>45474</v>
      </c>
      <c r="C1521">
        <v>232.07</v>
      </c>
      <c r="D1521">
        <v>201.02</v>
      </c>
      <c r="E1521">
        <v>271</v>
      </c>
      <c r="F1521">
        <v>200.85</v>
      </c>
      <c r="G1521" s="1" t="s">
        <v>1013</v>
      </c>
      <c r="H1521">
        <v>0.17280000000000001</v>
      </c>
      <c r="I1521" s="3">
        <f t="shared" si="23"/>
        <v>-7.7390442538889048E-2</v>
      </c>
    </row>
    <row r="1522" spans="1:9" x14ac:dyDescent="0.35">
      <c r="A1522" s="1" t="s">
        <v>1012</v>
      </c>
      <c r="B1522" s="2">
        <v>45505</v>
      </c>
      <c r="C1522">
        <v>214.11</v>
      </c>
      <c r="D1522">
        <v>227.69</v>
      </c>
      <c r="E1522">
        <v>231.87</v>
      </c>
      <c r="F1522">
        <v>182</v>
      </c>
      <c r="G1522" s="1" t="s">
        <v>163</v>
      </c>
      <c r="H1522">
        <v>-7.7399999999999997E-2</v>
      </c>
      <c r="I1522" s="3">
        <f t="shared" si="23"/>
        <v>0.22194199243379562</v>
      </c>
    </row>
    <row r="1523" spans="1:9" x14ac:dyDescent="0.35">
      <c r="A1523" s="1" t="s">
        <v>1012</v>
      </c>
      <c r="B1523" s="2">
        <v>45536</v>
      </c>
      <c r="C1523">
        <v>261.63</v>
      </c>
      <c r="D1523">
        <v>215.26</v>
      </c>
      <c r="E1523">
        <v>264.86</v>
      </c>
      <c r="F1523">
        <v>209.64</v>
      </c>
      <c r="G1523" s="1" t="s">
        <v>380</v>
      </c>
      <c r="H1523">
        <v>0.22189999999999999</v>
      </c>
      <c r="I1523" s="3">
        <f t="shared" si="23"/>
        <v>-4.502541757443719E-2</v>
      </c>
    </row>
    <row r="1524" spans="1:9" x14ac:dyDescent="0.35">
      <c r="A1524" s="1" t="s">
        <v>1012</v>
      </c>
      <c r="B1524" s="2">
        <v>45566</v>
      </c>
      <c r="C1524">
        <v>249.85</v>
      </c>
      <c r="D1524">
        <v>262.67</v>
      </c>
      <c r="E1524">
        <v>273.54000000000002</v>
      </c>
      <c r="F1524">
        <v>212.11</v>
      </c>
      <c r="G1524" s="1" t="s">
        <v>307</v>
      </c>
      <c r="H1524">
        <v>-4.4999999999999998E-2</v>
      </c>
      <c r="I1524" s="3">
        <f t="shared" si="23"/>
        <v>0.38146888132879742</v>
      </c>
    </row>
    <row r="1525" spans="1:9" x14ac:dyDescent="0.35">
      <c r="A1525" s="1" t="s">
        <v>1012</v>
      </c>
      <c r="B1525" s="2">
        <v>45597</v>
      </c>
      <c r="C1525">
        <v>345.16</v>
      </c>
      <c r="D1525">
        <v>252.04</v>
      </c>
      <c r="E1525">
        <v>361.93</v>
      </c>
      <c r="F1525">
        <v>238.88</v>
      </c>
      <c r="G1525" s="1" t="s">
        <v>190</v>
      </c>
      <c r="H1525">
        <v>0.38150000000000001</v>
      </c>
      <c r="I1525" s="3">
        <f t="shared" si="23"/>
        <v>0.17000811217985845</v>
      </c>
    </row>
    <row r="1526" spans="1:9" x14ac:dyDescent="0.35">
      <c r="A1526" s="1" t="s">
        <v>1012</v>
      </c>
      <c r="B1526" s="2">
        <v>45627</v>
      </c>
      <c r="C1526">
        <v>403.84</v>
      </c>
      <c r="D1526">
        <v>352.38</v>
      </c>
      <c r="E1526">
        <v>488.54</v>
      </c>
      <c r="F1526">
        <v>348.2</v>
      </c>
      <c r="G1526" s="1" t="s">
        <v>394</v>
      </c>
      <c r="H1526">
        <v>0.17</v>
      </c>
      <c r="I1526" s="3">
        <f t="shared" si="2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13D6-D6A7-4E36-A908-71AAC540FDD6}">
  <dimension ref="A3:C12"/>
  <sheetViews>
    <sheetView topLeftCell="A3" workbookViewId="0">
      <selection activeCell="C13" sqref="C13"/>
    </sheetView>
  </sheetViews>
  <sheetFormatPr defaultRowHeight="14.5" x14ac:dyDescent="0.35"/>
  <cols>
    <col min="1" max="1" width="12.36328125" bestFit="1" customWidth="1"/>
    <col min="2" max="2" width="20.6328125" bestFit="1" customWidth="1"/>
    <col min="3" max="3" width="19.81640625" bestFit="1" customWidth="1"/>
  </cols>
  <sheetData>
    <row r="3" spans="1:3" x14ac:dyDescent="0.35">
      <c r="A3" s="4" t="s">
        <v>1080</v>
      </c>
      <c r="B3" t="s">
        <v>1082</v>
      </c>
      <c r="C3" t="s">
        <v>1083</v>
      </c>
    </row>
    <row r="4" spans="1:3" x14ac:dyDescent="0.35">
      <c r="A4" s="5" t="s">
        <v>366</v>
      </c>
      <c r="B4" s="6">
        <v>2.5965390266743313E-2</v>
      </c>
      <c r="C4" s="6">
        <v>8.9320209041281642E-2</v>
      </c>
    </row>
    <row r="5" spans="1:3" x14ac:dyDescent="0.35">
      <c r="A5" s="5" t="s">
        <v>227</v>
      </c>
      <c r="B5" s="6">
        <v>2.4550808058367332E-2</v>
      </c>
      <c r="C5" s="6">
        <v>0.10319041894972103</v>
      </c>
    </row>
    <row r="6" spans="1:3" x14ac:dyDescent="0.35">
      <c r="A6" s="5" t="s">
        <v>8</v>
      </c>
      <c r="B6" s="6">
        <v>1.8528698528176901E-2</v>
      </c>
      <c r="C6" s="6">
        <v>8.0891600453931983E-2</v>
      </c>
    </row>
    <row r="7" spans="1:3" x14ac:dyDescent="0.35">
      <c r="A7" s="5" t="s">
        <v>521</v>
      </c>
      <c r="B7" s="6">
        <v>2.5547179594763821E-2</v>
      </c>
      <c r="C7" s="6">
        <v>0.10983534915476184</v>
      </c>
    </row>
    <row r="8" spans="1:3" x14ac:dyDescent="0.35">
      <c r="A8" s="5" t="s">
        <v>652</v>
      </c>
      <c r="B8" s="6">
        <v>1.3727570053097776E-2</v>
      </c>
      <c r="C8" s="6">
        <v>6.5297910325904304E-2</v>
      </c>
    </row>
    <row r="9" spans="1:3" x14ac:dyDescent="0.35">
      <c r="A9" s="5" t="s">
        <v>804</v>
      </c>
      <c r="B9" s="6">
        <v>3.693622890805557E-2</v>
      </c>
      <c r="C9" s="6">
        <v>0.13750065086577129</v>
      </c>
    </row>
    <row r="10" spans="1:3" x14ac:dyDescent="0.35">
      <c r="A10" s="5" t="s">
        <v>1012</v>
      </c>
      <c r="B10" s="6">
        <v>4.7935646321962851E-2</v>
      </c>
      <c r="C10" s="6">
        <v>0.18268104206805688</v>
      </c>
    </row>
    <row r="11" spans="1:3" x14ac:dyDescent="0.35">
      <c r="A11" s="5" t="s">
        <v>1081</v>
      </c>
      <c r="B11" s="6">
        <v>2.6838369556915868E-2</v>
      </c>
      <c r="C11" s="6">
        <v>0.11252791784045768</v>
      </c>
    </row>
    <row r="12" spans="1:3" x14ac:dyDescent="0.35">
      <c r="B12" s="6">
        <f>MAX(B4:B10)</f>
        <v>4.7935646321962851E-2</v>
      </c>
      <c r="C12" s="6">
        <f>MAX(C4:C10)</f>
        <v>0.18268104206805688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7D8F-B064-4AAF-AA7F-F1F0F8FB814B}">
  <dimension ref="A3:I25"/>
  <sheetViews>
    <sheetView showGridLines="0" tabSelected="1" workbookViewId="0">
      <selection activeCell="H43" sqref="H43"/>
    </sheetView>
  </sheetViews>
  <sheetFormatPr defaultRowHeight="14.5" x14ac:dyDescent="0.35"/>
  <cols>
    <col min="1" max="1" width="14.36328125" bestFit="1" customWidth="1"/>
    <col min="2" max="2" width="15.26953125" bestFit="1" customWidth="1"/>
    <col min="3" max="8" width="7.36328125" bestFit="1" customWidth="1"/>
    <col min="9" max="9" width="10.7265625" bestFit="1" customWidth="1"/>
  </cols>
  <sheetData>
    <row r="3" spans="1:9" x14ac:dyDescent="0.35">
      <c r="A3" s="4" t="s">
        <v>1105</v>
      </c>
      <c r="B3" s="4" t="s">
        <v>1104</v>
      </c>
    </row>
    <row r="4" spans="1:9" x14ac:dyDescent="0.35">
      <c r="A4" s="4" t="s">
        <v>1080</v>
      </c>
      <c r="B4" t="s">
        <v>366</v>
      </c>
      <c r="C4" t="s">
        <v>227</v>
      </c>
      <c r="D4" t="s">
        <v>8</v>
      </c>
      <c r="E4" t="s">
        <v>521</v>
      </c>
      <c r="F4" t="s">
        <v>652</v>
      </c>
      <c r="G4" t="s">
        <v>804</v>
      </c>
      <c r="H4" t="s">
        <v>1012</v>
      </c>
      <c r="I4" t="s">
        <v>1081</v>
      </c>
    </row>
    <row r="5" spans="1:9" x14ac:dyDescent="0.35">
      <c r="A5" s="5" t="s">
        <v>1084</v>
      </c>
      <c r="B5" s="6">
        <v>1.719166666666667</v>
      </c>
      <c r="C5" s="6">
        <v>2.0091666666666668</v>
      </c>
      <c r="D5" s="6">
        <v>7.1691666666666665</v>
      </c>
      <c r="E5" s="6"/>
      <c r="F5" s="6">
        <v>25.816666666666659</v>
      </c>
      <c r="G5" s="6">
        <v>0.24333333333333332</v>
      </c>
      <c r="H5" s="6"/>
      <c r="I5" s="6">
        <v>7.3915000000000015</v>
      </c>
    </row>
    <row r="6" spans="1:9" x14ac:dyDescent="0.35">
      <c r="A6" s="5" t="s">
        <v>1085</v>
      </c>
      <c r="B6" s="6">
        <v>2.5733333333333333</v>
      </c>
      <c r="C6" s="6">
        <v>1.8116666666666663</v>
      </c>
      <c r="D6" s="6">
        <v>10.389999999999999</v>
      </c>
      <c r="E6" s="6"/>
      <c r="F6" s="6">
        <v>26.447500000000002</v>
      </c>
      <c r="G6" s="6">
        <v>0.46916666666666673</v>
      </c>
      <c r="H6" s="6"/>
      <c r="I6" s="6">
        <v>8.3383333333333329</v>
      </c>
    </row>
    <row r="7" spans="1:9" x14ac:dyDescent="0.35">
      <c r="A7" s="5" t="s">
        <v>1086</v>
      </c>
      <c r="B7" s="6">
        <v>4.7625000000000002</v>
      </c>
      <c r="C7" s="6">
        <v>3.499166666666667</v>
      </c>
      <c r="D7" s="6">
        <v>13.732500000000003</v>
      </c>
      <c r="E7" s="6"/>
      <c r="F7" s="6">
        <v>30.849166666666672</v>
      </c>
      <c r="G7" s="6">
        <v>0.6974999999999999</v>
      </c>
      <c r="H7" s="6"/>
      <c r="I7" s="6">
        <v>10.708166666666669</v>
      </c>
    </row>
    <row r="8" spans="1:9" x14ac:dyDescent="0.35">
      <c r="A8" s="5" t="s">
        <v>1087</v>
      </c>
      <c r="B8" s="6">
        <v>4.9441666666666668</v>
      </c>
      <c r="C8" s="6">
        <v>3.4491666666666672</v>
      </c>
      <c r="D8" s="6">
        <v>11.384999999999998</v>
      </c>
      <c r="E8" s="6"/>
      <c r="F8" s="6">
        <v>26.184999999999999</v>
      </c>
      <c r="G8" s="6">
        <v>0.39333333333333337</v>
      </c>
      <c r="H8" s="6"/>
      <c r="I8" s="6">
        <v>9.2713333333333363</v>
      </c>
    </row>
    <row r="9" spans="1:9" x14ac:dyDescent="0.35">
      <c r="A9" s="5" t="s">
        <v>1088</v>
      </c>
      <c r="B9" s="6">
        <v>5.3716666666666661</v>
      </c>
      <c r="C9" s="6">
        <v>4.5374999999999988</v>
      </c>
      <c r="D9" s="6">
        <v>11.259166666666665</v>
      </c>
      <c r="E9" s="6"/>
      <c r="F9" s="6">
        <v>23.170833333333334</v>
      </c>
      <c r="G9" s="6">
        <v>0.30416666666666664</v>
      </c>
      <c r="H9" s="6"/>
      <c r="I9" s="6">
        <v>8.9286666666666665</v>
      </c>
    </row>
    <row r="10" spans="1:9" x14ac:dyDescent="0.35">
      <c r="A10" s="5" t="s">
        <v>1089</v>
      </c>
      <c r="B10" s="6">
        <v>9.2841666666666658</v>
      </c>
      <c r="C10" s="6">
        <v>6.9649999999999999</v>
      </c>
      <c r="D10" s="6">
        <v>13.145833333333334</v>
      </c>
      <c r="E10" s="6"/>
      <c r="F10" s="6">
        <v>26.590000000000003</v>
      </c>
      <c r="G10" s="6">
        <v>0.33166666666666667</v>
      </c>
      <c r="H10" s="6">
        <v>1.5983333333333334</v>
      </c>
      <c r="I10" s="6">
        <v>10.38469696969697</v>
      </c>
    </row>
    <row r="11" spans="1:9" x14ac:dyDescent="0.35">
      <c r="A11" s="5" t="s">
        <v>1090</v>
      </c>
      <c r="B11" s="6">
        <v>13.164166666666667</v>
      </c>
      <c r="C11" s="6">
        <v>9.8025000000000002</v>
      </c>
      <c r="D11" s="6">
        <v>14.342499999999999</v>
      </c>
      <c r="E11" s="6"/>
      <c r="F11" s="6">
        <v>26.14083333333333</v>
      </c>
      <c r="G11" s="6">
        <v>0.42749999999999994</v>
      </c>
      <c r="H11" s="6">
        <v>1.8366666666666667</v>
      </c>
      <c r="I11" s="6">
        <v>10.952361111111115</v>
      </c>
    </row>
    <row r="12" spans="1:9" x14ac:dyDescent="0.35">
      <c r="A12" s="5" t="s">
        <v>1091</v>
      </c>
      <c r="B12" s="6">
        <v>20.833333333333332</v>
      </c>
      <c r="C12" s="6">
        <v>11.339166666666666</v>
      </c>
      <c r="D12" s="6">
        <v>16.191666666666666</v>
      </c>
      <c r="E12" s="6">
        <v>24.035714285714285</v>
      </c>
      <c r="F12" s="6">
        <v>29.77</v>
      </c>
      <c r="G12" s="6">
        <v>0.33749999999999997</v>
      </c>
      <c r="H12" s="6">
        <v>2.0824999999999996</v>
      </c>
      <c r="I12" s="6">
        <v>14.365822784810124</v>
      </c>
    </row>
    <row r="13" spans="1:9" x14ac:dyDescent="0.35">
      <c r="A13" s="5" t="s">
        <v>1092</v>
      </c>
      <c r="B13" s="6">
        <v>16.919166666666666</v>
      </c>
      <c r="C13" s="6">
        <v>15.200000000000001</v>
      </c>
      <c r="D13" s="6">
        <v>22.41416666666667</v>
      </c>
      <c r="E13" s="6">
        <v>36.749999999999993</v>
      </c>
      <c r="F13" s="6">
        <v>32.99</v>
      </c>
      <c r="G13" s="6">
        <v>0.35749999999999998</v>
      </c>
      <c r="H13" s="6">
        <v>7.2433333333333323</v>
      </c>
      <c r="I13" s="6">
        <v>18.839166666666667</v>
      </c>
    </row>
    <row r="14" spans="1:9" x14ac:dyDescent="0.35">
      <c r="A14" s="5" t="s">
        <v>1093</v>
      </c>
      <c r="B14" s="6">
        <v>23.481666666666666</v>
      </c>
      <c r="C14" s="6">
        <v>16.365000000000002</v>
      </c>
      <c r="D14" s="6">
        <v>28.524999999999995</v>
      </c>
      <c r="E14" s="6">
        <v>69.905000000000015</v>
      </c>
      <c r="F14" s="6">
        <v>43.028333333333336</v>
      </c>
      <c r="G14" s="6">
        <v>0.46583333333333332</v>
      </c>
      <c r="H14" s="6">
        <v>15.192500000000003</v>
      </c>
      <c r="I14" s="6">
        <v>28.13761904761904</v>
      </c>
    </row>
    <row r="15" spans="1:9" x14ac:dyDescent="0.35">
      <c r="A15" s="5" t="s">
        <v>1094</v>
      </c>
      <c r="B15" s="6">
        <v>29.965833333333332</v>
      </c>
      <c r="C15" s="6">
        <v>24.663333333333338</v>
      </c>
      <c r="D15" s="6">
        <v>31.296666666666667</v>
      </c>
      <c r="E15" s="6">
        <v>88.751666666666665</v>
      </c>
      <c r="F15" s="6">
        <v>46.792499999999997</v>
      </c>
      <c r="G15" s="6">
        <v>0.59583333333333344</v>
      </c>
      <c r="H15" s="6">
        <v>15.452500000000001</v>
      </c>
      <c r="I15" s="6">
        <v>33.93119047619048</v>
      </c>
    </row>
    <row r="16" spans="1:9" x14ac:dyDescent="0.35">
      <c r="A16" s="5" t="s">
        <v>1095</v>
      </c>
      <c r="B16" s="6">
        <v>26.154166666666669</v>
      </c>
      <c r="C16" s="6">
        <v>35.361666666666672</v>
      </c>
      <c r="D16" s="6">
        <v>38.187500000000007</v>
      </c>
      <c r="E16" s="6">
        <v>118.89083333333333</v>
      </c>
      <c r="F16" s="6">
        <v>55.774999999999999</v>
      </c>
      <c r="G16" s="6">
        <v>1.4225000000000001</v>
      </c>
      <c r="H16" s="6">
        <v>14.115833333333335</v>
      </c>
      <c r="I16" s="6">
        <v>41.415357142857161</v>
      </c>
    </row>
    <row r="17" spans="1:9" x14ac:dyDescent="0.35">
      <c r="A17" s="5" t="s">
        <v>1096</v>
      </c>
      <c r="B17" s="6">
        <v>37.904166666666661</v>
      </c>
      <c r="C17" s="6">
        <v>49.265833333333326</v>
      </c>
      <c r="D17" s="6">
        <v>47.297499999999992</v>
      </c>
      <c r="E17" s="6">
        <v>158.86583333333334</v>
      </c>
      <c r="F17" s="6">
        <v>73.047499999999985</v>
      </c>
      <c r="G17" s="6">
        <v>3.8016666666666672</v>
      </c>
      <c r="H17" s="6">
        <v>20.939999999999998</v>
      </c>
      <c r="I17" s="6">
        <v>55.874642857142852</v>
      </c>
    </row>
    <row r="18" spans="1:9" x14ac:dyDescent="0.35">
      <c r="A18" s="5" t="s">
        <v>1097</v>
      </c>
      <c r="B18" s="6">
        <v>46.864999999999988</v>
      </c>
      <c r="C18" s="6">
        <v>82.873333333333335</v>
      </c>
      <c r="D18" s="6">
        <v>56.176666666666669</v>
      </c>
      <c r="E18" s="6">
        <v>168.28</v>
      </c>
      <c r="F18" s="6">
        <v>101.92250000000001</v>
      </c>
      <c r="G18" s="6">
        <v>5.7241666666666662</v>
      </c>
      <c r="H18" s="6">
        <v>20.945833333333336</v>
      </c>
      <c r="I18" s="6">
        <v>68.969642857142873</v>
      </c>
    </row>
    <row r="19" spans="1:9" x14ac:dyDescent="0.35">
      <c r="A19" s="5" t="s">
        <v>1098</v>
      </c>
      <c r="B19" s="6">
        <v>53.305</v>
      </c>
      <c r="C19" s="6">
        <v>89.745000000000005</v>
      </c>
      <c r="D19" s="6">
        <v>59.790833333333332</v>
      </c>
      <c r="E19" s="6">
        <v>184.60166666666669</v>
      </c>
      <c r="F19" s="6">
        <v>132.35416666666669</v>
      </c>
      <c r="G19" s="6">
        <v>4.4216666666666669</v>
      </c>
      <c r="H19" s="6">
        <v>18.474999999999998</v>
      </c>
      <c r="I19" s="6">
        <v>77.527619047619027</v>
      </c>
    </row>
    <row r="20" spans="1:9" x14ac:dyDescent="0.35">
      <c r="A20" s="5" t="s">
        <v>1099</v>
      </c>
      <c r="B20" s="6">
        <v>97.09416666666668</v>
      </c>
      <c r="C20" s="6">
        <v>136.43</v>
      </c>
      <c r="D20" s="6">
        <v>74.327500000000001</v>
      </c>
      <c r="E20" s="6">
        <v>236.67166666666671</v>
      </c>
      <c r="F20" s="6">
        <v>194.64583333333334</v>
      </c>
      <c r="G20" s="6">
        <v>10.120000000000001</v>
      </c>
      <c r="H20" s="6">
        <v>105.07333333333334</v>
      </c>
      <c r="I20" s="6">
        <v>122.05178571428571</v>
      </c>
    </row>
    <row r="21" spans="1:9" x14ac:dyDescent="0.35">
      <c r="A21" s="5" t="s">
        <v>1100</v>
      </c>
      <c r="B21" s="6">
        <v>141.68833333333333</v>
      </c>
      <c r="C21" s="6">
        <v>165.92083333333332</v>
      </c>
      <c r="D21" s="6">
        <v>125.09333333333335</v>
      </c>
      <c r="E21" s="6">
        <v>322.62083333333334</v>
      </c>
      <c r="F21" s="6">
        <v>278.34250000000003</v>
      </c>
      <c r="G21" s="6">
        <v>20.130833333333332</v>
      </c>
      <c r="H21" s="6">
        <v>268.48</v>
      </c>
      <c r="I21" s="6">
        <v>188.89666666666659</v>
      </c>
    </row>
    <row r="22" spans="1:9" x14ac:dyDescent="0.35">
      <c r="A22" s="5" t="s">
        <v>1101</v>
      </c>
      <c r="B22" s="6">
        <v>153.91249999999999</v>
      </c>
      <c r="C22" s="6">
        <v>122.8775</v>
      </c>
      <c r="D22" s="6">
        <v>112.515</v>
      </c>
      <c r="E22" s="6">
        <v>174.27666666666667</v>
      </c>
      <c r="F22" s="6">
        <v>268.875</v>
      </c>
      <c r="G22" s="6">
        <v>18.247500000000002</v>
      </c>
      <c r="H22" s="6">
        <v>259.37333333333328</v>
      </c>
      <c r="I22" s="6">
        <v>158.58250000000001</v>
      </c>
    </row>
    <row r="23" spans="1:9" x14ac:dyDescent="0.35">
      <c r="A23" s="5" t="s">
        <v>1102</v>
      </c>
      <c r="B23" s="6">
        <v>175.52333333333334</v>
      </c>
      <c r="C23" s="6">
        <v>123.91416666666665</v>
      </c>
      <c r="D23" s="6">
        <v>119.88249999999999</v>
      </c>
      <c r="E23" s="6">
        <v>268.74583333333334</v>
      </c>
      <c r="F23" s="6">
        <v>319.51749999999998</v>
      </c>
      <c r="G23" s="6">
        <v>37.922499999999992</v>
      </c>
      <c r="H23" s="6">
        <v>223.46083333333334</v>
      </c>
      <c r="I23" s="6">
        <v>181.28095238095236</v>
      </c>
    </row>
    <row r="24" spans="1:9" x14ac:dyDescent="0.35">
      <c r="A24" s="5" t="s">
        <v>1103</v>
      </c>
      <c r="B24" s="6">
        <v>208.96416666666667</v>
      </c>
      <c r="C24" s="6">
        <v>185.21</v>
      </c>
      <c r="D24" s="6">
        <v>164.75416666666669</v>
      </c>
      <c r="E24" s="6">
        <v>505.25499999999994</v>
      </c>
      <c r="F24" s="6">
        <v>416.70416666666665</v>
      </c>
      <c r="G24" s="6">
        <v>109.47499999999998</v>
      </c>
      <c r="H24" s="6">
        <v>235.90499999999997</v>
      </c>
      <c r="I24" s="6">
        <v>260.89535714285711</v>
      </c>
    </row>
    <row r="25" spans="1:9" x14ac:dyDescent="0.35">
      <c r="A25" s="5" t="s">
        <v>1081</v>
      </c>
      <c r="B25" s="6">
        <v>53.721499999999999</v>
      </c>
      <c r="C25" s="6">
        <v>54.562000000000005</v>
      </c>
      <c r="D25" s="6">
        <v>48.893833333333355</v>
      </c>
      <c r="E25" s="6">
        <v>186.56708609271516</v>
      </c>
      <c r="F25" s="6">
        <v>108.94824999999999</v>
      </c>
      <c r="G25" s="6">
        <v>10.794458333333329</v>
      </c>
      <c r="H25" s="6">
        <v>83.405229885057466</v>
      </c>
      <c r="I25" s="6">
        <v>71.570459016393428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C631E-3B24-4622-9E80-779A50EA5CA7}">
  <dimension ref="A1"/>
  <sheetViews>
    <sheetView showGridLines="0"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A3D7A5-DD86-43F4-BB56-17BAE44FBB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Tech_Stock_Prjct</vt:lpstr>
      <vt:lpstr>Pivot_Table</vt:lpstr>
      <vt:lpstr>Finance_Dahboard</vt:lpstr>
      <vt:lpstr>Exec_Summary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Kairu</dc:creator>
  <cp:lastModifiedBy>Eddie Kairu</cp:lastModifiedBy>
  <dcterms:created xsi:type="dcterms:W3CDTF">2026-03-21T07:08:01Z</dcterms:created>
  <dcterms:modified xsi:type="dcterms:W3CDTF">2026-03-21T09:25:13Z</dcterms:modified>
</cp:coreProperties>
</file>